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array.xml" ContentType="application/vnd.ms-excel.rdarray+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501"/>
  <workbookPr defaultThemeVersion="166925"/>
  <mc:AlternateContent xmlns:mc="http://schemas.openxmlformats.org/markup-compatibility/2006">
    <mc:Choice Requires="x15">
      <x15ac:absPath xmlns:x15ac="http://schemas.microsoft.com/office/spreadsheetml/2010/11/ac" url="D:\mallikarjuna\excel\"/>
    </mc:Choice>
  </mc:AlternateContent>
  <xr:revisionPtr revIDLastSave="0" documentId="13_ncr:1_{F7609395-7A87-496F-A043-5A4024B46A90}" xr6:coauthVersionLast="47" xr6:coauthVersionMax="47" xr10:uidLastSave="{00000000-0000-0000-0000-000000000000}"/>
  <bookViews>
    <workbookView xWindow="-108" yWindow="-108" windowWidth="23256" windowHeight="12456" xr2:uid="{35F29758-C51A-4D75-A6CF-4B8E0CA6E8BA}"/>
  </bookViews>
  <sheets>
    <sheet name="Dashboard" sheetId="1" r:id="rId1"/>
    <sheet name="Dabur" sheetId="6" r:id="rId2"/>
    <sheet name="LT" sheetId="5" r:id="rId3"/>
    <sheet name="Watch List" sheetId="4" r:id="rId4"/>
    <sheet name="Sheet2" sheetId="2" r:id="rId5"/>
    <sheet name="Ledger" sheetId="3" r:id="rId6"/>
  </sheets>
  <calcPr calcId="191029"/>
  <pivotCaches>
    <pivotCache cacheId="0" r:id="rId7"/>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2" i="4" l="1" a="1"/>
  <c r="H2" i="4" s="1"/>
  <c r="H3" i="4" a="1"/>
  <c r="H3" i="4" s="1"/>
  <c r="G2" i="4" a="1"/>
  <c r="G2" i="4" s="1"/>
  <c r="G3" i="4" a="1"/>
  <c r="G3" i="4" s="1"/>
  <c r="F2" i="4" a="1"/>
  <c r="F2" i="4" s="1"/>
  <c r="F3" i="4" a="1"/>
  <c r="F3" i="4" s="1"/>
  <c r="E2" i="4" a="1"/>
  <c r="E2" i="4" s="1"/>
  <c r="E3" i="4" a="1"/>
  <c r="E3" i="4" s="1"/>
  <c r="D2" i="4" a="1"/>
  <c r="D2" i="4" s="1"/>
  <c r="D3" i="4" a="1"/>
  <c r="D3" i="4" s="1"/>
  <c r="C2" i="4" a="1"/>
  <c r="C2" i="4" s="1"/>
  <c r="C3" i="4" a="1"/>
  <c r="C3" i="4" s="1"/>
  <c r="B2" i="4" a="1"/>
  <c r="B2" i="4" s="1"/>
  <c r="B3" i="4" a="1"/>
  <c r="B3" i="4" s="1"/>
  <c r="H2" i="1" a="1"/>
  <c r="H2" i="1" s="1"/>
  <c r="C4" i="6" a="1"/>
  <c r="A6" i="5" a="1"/>
  <c r="C4" i="5" a="1"/>
  <c r="B6" i="6" a="1"/>
  <c r="B6" i="6" l="1"/>
  <c r="C4" i="6"/>
  <c r="A6" i="5"/>
  <c r="C4" i="5"/>
  <c r="E2" i="3" a="1"/>
  <c r="E2" i="3" s="1"/>
  <c r="E3" i="3" a="1"/>
  <c r="E3" i="3" s="1"/>
  <c r="E4" i="3" a="1"/>
  <c r="E4" i="3" s="1"/>
  <c r="E5" i="3" a="1"/>
  <c r="E5" i="3" s="1"/>
  <c r="E6" i="3" a="1"/>
  <c r="E6" i="3" s="1"/>
  <c r="E7" i="3" a="1"/>
  <c r="E7" i="3" s="1"/>
  <c r="E8" i="3" a="1"/>
  <c r="E8" i="3" s="1"/>
  <c r="A5" i="1" l="1" a="1"/>
  <c r="L6" i="1" a="1"/>
  <c r="L11" i="1" a="1"/>
  <c r="L7" i="1" a="1"/>
  <c r="L10" i="1" a="1"/>
  <c r="L9" i="1" a="1"/>
  <c r="L8" i="1" a="1"/>
  <c r="L8" i="1" l="1"/>
  <c r="L9" i="1"/>
  <c r="L10" i="1"/>
  <c r="L7" i="1"/>
  <c r="L11" i="1"/>
  <c r="L6" i="1"/>
  <c r="A5" i="1"/>
  <c r="D5" i="1" s="1" a="1"/>
  <c r="D5" i="1" s="1"/>
  <c r="L4" i="1" a="1"/>
  <c r="F5" i="1" l="1" a="1"/>
  <c r="F5" i="1" s="1"/>
  <c r="B5" i="1" a="1"/>
  <c r="B5" i="1" s="1"/>
  <c r="C5" i="1" a="1"/>
  <c r="G11" i="1" s="1"/>
  <c r="L4" i="1"/>
  <c r="A15" i="1" l="1" a="1"/>
  <c r="A15" i="1" s="1"/>
  <c r="C5" i="1"/>
  <c r="G5" i="1" s="1"/>
  <c r="G10" i="1"/>
  <c r="G9" i="1"/>
  <c r="G8" i="1"/>
  <c r="G7" i="1"/>
  <c r="G6" i="1"/>
  <c r="B15" i="1" l="1" a="1"/>
  <c r="B15" i="1" s="1"/>
  <c r="D2" i="1"/>
  <c r="E5" i="1" a="1"/>
  <c r="E5" i="1" s="1"/>
  <c r="H5" i="1" s="1"/>
  <c r="I5" i="1" s="1" a="1"/>
  <c r="I5" i="1" s="1"/>
  <c r="H8" i="1" l="1"/>
  <c r="H6" i="1"/>
  <c r="H9" i="1"/>
  <c r="H7" i="1"/>
  <c r="H10" i="1"/>
  <c r="H11" i="1"/>
  <c r="F2" i="1" l="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2534">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bk>
      <extLst>
        <ext uri="{3e2802c4-a4d2-4d8b-9148-e3be6c30e623}">
          <xlrd:rvb i="8"/>
        </ext>
      </extLst>
    </bk>
    <bk>
      <extLst>
        <ext uri="{3e2802c4-a4d2-4d8b-9148-e3be6c30e623}">
          <xlrd:rvb i="9"/>
        </ext>
      </extLst>
    </bk>
    <bk>
      <extLst>
        <ext uri="{3e2802c4-a4d2-4d8b-9148-e3be6c30e623}">
          <xlrd:rvb i="10"/>
        </ext>
      </extLst>
    </bk>
    <bk>
      <extLst>
        <ext uri="{3e2802c4-a4d2-4d8b-9148-e3be6c30e623}">
          <xlrd:rvb i="11"/>
        </ext>
      </extLst>
    </bk>
    <bk>
      <extLst>
        <ext uri="{3e2802c4-a4d2-4d8b-9148-e3be6c30e623}">
          <xlrd:rvb i="12"/>
        </ext>
      </extLst>
    </bk>
    <bk>
      <extLst>
        <ext uri="{3e2802c4-a4d2-4d8b-9148-e3be6c30e623}">
          <xlrd:rvb i="13"/>
        </ext>
      </extLst>
    </bk>
    <bk>
      <extLst>
        <ext uri="{3e2802c4-a4d2-4d8b-9148-e3be6c30e623}">
          <xlrd:rvb i="14"/>
        </ext>
      </extLst>
    </bk>
    <bk>
      <extLst>
        <ext uri="{3e2802c4-a4d2-4d8b-9148-e3be6c30e623}">
          <xlrd:rvb i="15"/>
        </ext>
      </extLst>
    </bk>
    <bk>
      <extLst>
        <ext uri="{3e2802c4-a4d2-4d8b-9148-e3be6c30e623}">
          <xlrd:rvb i="16"/>
        </ext>
      </extLst>
    </bk>
    <bk>
      <extLst>
        <ext uri="{3e2802c4-a4d2-4d8b-9148-e3be6c30e623}">
          <xlrd:rvb i="17"/>
        </ext>
      </extLst>
    </bk>
    <bk>
      <extLst>
        <ext uri="{3e2802c4-a4d2-4d8b-9148-e3be6c30e623}">
          <xlrd:rvb i="18"/>
        </ext>
      </extLst>
    </bk>
    <bk>
      <extLst>
        <ext uri="{3e2802c4-a4d2-4d8b-9148-e3be6c30e623}">
          <xlrd:rvb i="19"/>
        </ext>
      </extLst>
    </bk>
    <bk>
      <extLst>
        <ext uri="{3e2802c4-a4d2-4d8b-9148-e3be6c30e623}">
          <xlrd:rvb i="20"/>
        </ext>
      </extLst>
    </bk>
    <bk>
      <extLst>
        <ext uri="{3e2802c4-a4d2-4d8b-9148-e3be6c30e623}">
          <xlrd:rvb i="21"/>
        </ext>
      </extLst>
    </bk>
    <bk>
      <extLst>
        <ext uri="{3e2802c4-a4d2-4d8b-9148-e3be6c30e623}">
          <xlrd:rvb i="22"/>
        </ext>
      </extLst>
    </bk>
    <bk>
      <extLst>
        <ext uri="{3e2802c4-a4d2-4d8b-9148-e3be6c30e623}">
          <xlrd:rvb i="23"/>
        </ext>
      </extLst>
    </bk>
    <bk>
      <extLst>
        <ext uri="{3e2802c4-a4d2-4d8b-9148-e3be6c30e623}">
          <xlrd:rvb i="24"/>
        </ext>
      </extLst>
    </bk>
    <bk>
      <extLst>
        <ext uri="{3e2802c4-a4d2-4d8b-9148-e3be6c30e623}">
          <xlrd:rvb i="25"/>
        </ext>
      </extLst>
    </bk>
    <bk>
      <extLst>
        <ext uri="{3e2802c4-a4d2-4d8b-9148-e3be6c30e623}">
          <xlrd:rvb i="26"/>
        </ext>
      </extLst>
    </bk>
    <bk>
      <extLst>
        <ext uri="{3e2802c4-a4d2-4d8b-9148-e3be6c30e623}">
          <xlrd:rvb i="27"/>
        </ext>
      </extLst>
    </bk>
    <bk>
      <extLst>
        <ext uri="{3e2802c4-a4d2-4d8b-9148-e3be6c30e623}">
          <xlrd:rvb i="28"/>
        </ext>
      </extLst>
    </bk>
    <bk>
      <extLst>
        <ext uri="{3e2802c4-a4d2-4d8b-9148-e3be6c30e623}">
          <xlrd:rvb i="29"/>
        </ext>
      </extLst>
    </bk>
    <bk>
      <extLst>
        <ext uri="{3e2802c4-a4d2-4d8b-9148-e3be6c30e623}">
          <xlrd:rvb i="30"/>
        </ext>
      </extLst>
    </bk>
    <bk>
      <extLst>
        <ext uri="{3e2802c4-a4d2-4d8b-9148-e3be6c30e623}">
          <xlrd:rvb i="31"/>
        </ext>
      </extLst>
    </bk>
    <bk>
      <extLst>
        <ext uri="{3e2802c4-a4d2-4d8b-9148-e3be6c30e623}">
          <xlrd:rvb i="32"/>
        </ext>
      </extLst>
    </bk>
    <bk>
      <extLst>
        <ext uri="{3e2802c4-a4d2-4d8b-9148-e3be6c30e623}">
          <xlrd:rvb i="33"/>
        </ext>
      </extLst>
    </bk>
    <bk>
      <extLst>
        <ext uri="{3e2802c4-a4d2-4d8b-9148-e3be6c30e623}">
          <xlrd:rvb i="34"/>
        </ext>
      </extLst>
    </bk>
    <bk>
      <extLst>
        <ext uri="{3e2802c4-a4d2-4d8b-9148-e3be6c30e623}">
          <xlrd:rvb i="35"/>
        </ext>
      </extLst>
    </bk>
    <bk>
      <extLst>
        <ext uri="{3e2802c4-a4d2-4d8b-9148-e3be6c30e623}">
          <xlrd:rvb i="36"/>
        </ext>
      </extLst>
    </bk>
    <bk>
      <extLst>
        <ext uri="{3e2802c4-a4d2-4d8b-9148-e3be6c30e623}">
          <xlrd:rvb i="37"/>
        </ext>
      </extLst>
    </bk>
    <bk>
      <extLst>
        <ext uri="{3e2802c4-a4d2-4d8b-9148-e3be6c30e623}">
          <xlrd:rvb i="38"/>
        </ext>
      </extLst>
    </bk>
    <bk>
      <extLst>
        <ext uri="{3e2802c4-a4d2-4d8b-9148-e3be6c30e623}">
          <xlrd:rvb i="39"/>
        </ext>
      </extLst>
    </bk>
    <bk>
      <extLst>
        <ext uri="{3e2802c4-a4d2-4d8b-9148-e3be6c30e623}">
          <xlrd:rvb i="40"/>
        </ext>
      </extLst>
    </bk>
    <bk>
      <extLst>
        <ext uri="{3e2802c4-a4d2-4d8b-9148-e3be6c30e623}">
          <xlrd:rvb i="41"/>
        </ext>
      </extLst>
    </bk>
    <bk>
      <extLst>
        <ext uri="{3e2802c4-a4d2-4d8b-9148-e3be6c30e623}">
          <xlrd:rvb i="42"/>
        </ext>
      </extLst>
    </bk>
    <bk>
      <extLst>
        <ext uri="{3e2802c4-a4d2-4d8b-9148-e3be6c30e623}">
          <xlrd:rvb i="43"/>
        </ext>
      </extLst>
    </bk>
    <bk>
      <extLst>
        <ext uri="{3e2802c4-a4d2-4d8b-9148-e3be6c30e623}">
          <xlrd:rvb i="44"/>
        </ext>
      </extLst>
    </bk>
    <bk>
      <extLst>
        <ext uri="{3e2802c4-a4d2-4d8b-9148-e3be6c30e623}">
          <xlrd:rvb i="45"/>
        </ext>
      </extLst>
    </bk>
    <bk>
      <extLst>
        <ext uri="{3e2802c4-a4d2-4d8b-9148-e3be6c30e623}">
          <xlrd:rvb i="46"/>
        </ext>
      </extLst>
    </bk>
    <bk>
      <extLst>
        <ext uri="{3e2802c4-a4d2-4d8b-9148-e3be6c30e623}">
          <xlrd:rvb i="47"/>
        </ext>
      </extLst>
    </bk>
    <bk>
      <extLst>
        <ext uri="{3e2802c4-a4d2-4d8b-9148-e3be6c30e623}">
          <xlrd:rvb i="48"/>
        </ext>
      </extLst>
    </bk>
    <bk>
      <extLst>
        <ext uri="{3e2802c4-a4d2-4d8b-9148-e3be6c30e623}">
          <xlrd:rvb i="49"/>
        </ext>
      </extLst>
    </bk>
    <bk>
      <extLst>
        <ext uri="{3e2802c4-a4d2-4d8b-9148-e3be6c30e623}">
          <xlrd:rvb i="50"/>
        </ext>
      </extLst>
    </bk>
    <bk>
      <extLst>
        <ext uri="{3e2802c4-a4d2-4d8b-9148-e3be6c30e623}">
          <xlrd:rvb i="51"/>
        </ext>
      </extLst>
    </bk>
    <bk>
      <extLst>
        <ext uri="{3e2802c4-a4d2-4d8b-9148-e3be6c30e623}">
          <xlrd:rvb i="52"/>
        </ext>
      </extLst>
    </bk>
    <bk>
      <extLst>
        <ext uri="{3e2802c4-a4d2-4d8b-9148-e3be6c30e623}">
          <xlrd:rvb i="53"/>
        </ext>
      </extLst>
    </bk>
    <bk>
      <extLst>
        <ext uri="{3e2802c4-a4d2-4d8b-9148-e3be6c30e623}">
          <xlrd:rvb i="54"/>
        </ext>
      </extLst>
    </bk>
    <bk>
      <extLst>
        <ext uri="{3e2802c4-a4d2-4d8b-9148-e3be6c30e623}">
          <xlrd:rvb i="55"/>
        </ext>
      </extLst>
    </bk>
    <bk>
      <extLst>
        <ext uri="{3e2802c4-a4d2-4d8b-9148-e3be6c30e623}">
          <xlrd:rvb i="56"/>
        </ext>
      </extLst>
    </bk>
    <bk>
      <extLst>
        <ext uri="{3e2802c4-a4d2-4d8b-9148-e3be6c30e623}">
          <xlrd:rvb i="57"/>
        </ext>
      </extLst>
    </bk>
    <bk>
      <extLst>
        <ext uri="{3e2802c4-a4d2-4d8b-9148-e3be6c30e623}">
          <xlrd:rvb i="58"/>
        </ext>
      </extLst>
    </bk>
    <bk>
      <extLst>
        <ext uri="{3e2802c4-a4d2-4d8b-9148-e3be6c30e623}">
          <xlrd:rvb i="59"/>
        </ext>
      </extLst>
    </bk>
    <bk>
      <extLst>
        <ext uri="{3e2802c4-a4d2-4d8b-9148-e3be6c30e623}">
          <xlrd:rvb i="60"/>
        </ext>
      </extLst>
    </bk>
    <bk>
      <extLst>
        <ext uri="{3e2802c4-a4d2-4d8b-9148-e3be6c30e623}">
          <xlrd:rvb i="61"/>
        </ext>
      </extLst>
    </bk>
    <bk>
      <extLst>
        <ext uri="{3e2802c4-a4d2-4d8b-9148-e3be6c30e623}">
          <xlrd:rvb i="62"/>
        </ext>
      </extLst>
    </bk>
    <bk>
      <extLst>
        <ext uri="{3e2802c4-a4d2-4d8b-9148-e3be6c30e623}">
          <xlrd:rvb i="63"/>
        </ext>
      </extLst>
    </bk>
    <bk>
      <extLst>
        <ext uri="{3e2802c4-a4d2-4d8b-9148-e3be6c30e623}">
          <xlrd:rvb i="64"/>
        </ext>
      </extLst>
    </bk>
    <bk>
      <extLst>
        <ext uri="{3e2802c4-a4d2-4d8b-9148-e3be6c30e623}">
          <xlrd:rvb i="65"/>
        </ext>
      </extLst>
    </bk>
    <bk>
      <extLst>
        <ext uri="{3e2802c4-a4d2-4d8b-9148-e3be6c30e623}">
          <xlrd:rvb i="66"/>
        </ext>
      </extLst>
    </bk>
    <bk>
      <extLst>
        <ext uri="{3e2802c4-a4d2-4d8b-9148-e3be6c30e623}">
          <xlrd:rvb i="67"/>
        </ext>
      </extLst>
    </bk>
    <bk>
      <extLst>
        <ext uri="{3e2802c4-a4d2-4d8b-9148-e3be6c30e623}">
          <xlrd:rvb i="68"/>
        </ext>
      </extLst>
    </bk>
    <bk>
      <extLst>
        <ext uri="{3e2802c4-a4d2-4d8b-9148-e3be6c30e623}">
          <xlrd:rvb i="69"/>
        </ext>
      </extLst>
    </bk>
    <bk>
      <extLst>
        <ext uri="{3e2802c4-a4d2-4d8b-9148-e3be6c30e623}">
          <xlrd:rvb i="70"/>
        </ext>
      </extLst>
    </bk>
    <bk>
      <extLst>
        <ext uri="{3e2802c4-a4d2-4d8b-9148-e3be6c30e623}">
          <xlrd:rvb i="71"/>
        </ext>
      </extLst>
    </bk>
    <bk>
      <extLst>
        <ext uri="{3e2802c4-a4d2-4d8b-9148-e3be6c30e623}">
          <xlrd:rvb i="72"/>
        </ext>
      </extLst>
    </bk>
    <bk>
      <extLst>
        <ext uri="{3e2802c4-a4d2-4d8b-9148-e3be6c30e623}">
          <xlrd:rvb i="73"/>
        </ext>
      </extLst>
    </bk>
    <bk>
      <extLst>
        <ext uri="{3e2802c4-a4d2-4d8b-9148-e3be6c30e623}">
          <xlrd:rvb i="74"/>
        </ext>
      </extLst>
    </bk>
    <bk>
      <extLst>
        <ext uri="{3e2802c4-a4d2-4d8b-9148-e3be6c30e623}">
          <xlrd:rvb i="75"/>
        </ext>
      </extLst>
    </bk>
    <bk>
      <extLst>
        <ext uri="{3e2802c4-a4d2-4d8b-9148-e3be6c30e623}">
          <xlrd:rvb i="76"/>
        </ext>
      </extLst>
    </bk>
    <bk>
      <extLst>
        <ext uri="{3e2802c4-a4d2-4d8b-9148-e3be6c30e623}">
          <xlrd:rvb i="77"/>
        </ext>
      </extLst>
    </bk>
    <bk>
      <extLst>
        <ext uri="{3e2802c4-a4d2-4d8b-9148-e3be6c30e623}">
          <xlrd:rvb i="78"/>
        </ext>
      </extLst>
    </bk>
    <bk>
      <extLst>
        <ext uri="{3e2802c4-a4d2-4d8b-9148-e3be6c30e623}">
          <xlrd:rvb i="79"/>
        </ext>
      </extLst>
    </bk>
    <bk>
      <extLst>
        <ext uri="{3e2802c4-a4d2-4d8b-9148-e3be6c30e623}">
          <xlrd:rvb i="80"/>
        </ext>
      </extLst>
    </bk>
    <bk>
      <extLst>
        <ext uri="{3e2802c4-a4d2-4d8b-9148-e3be6c30e623}">
          <xlrd:rvb i="81"/>
        </ext>
      </extLst>
    </bk>
    <bk>
      <extLst>
        <ext uri="{3e2802c4-a4d2-4d8b-9148-e3be6c30e623}">
          <xlrd:rvb i="82"/>
        </ext>
      </extLst>
    </bk>
    <bk>
      <extLst>
        <ext uri="{3e2802c4-a4d2-4d8b-9148-e3be6c30e623}">
          <xlrd:rvb i="83"/>
        </ext>
      </extLst>
    </bk>
    <bk>
      <extLst>
        <ext uri="{3e2802c4-a4d2-4d8b-9148-e3be6c30e623}">
          <xlrd:rvb i="84"/>
        </ext>
      </extLst>
    </bk>
    <bk>
      <extLst>
        <ext uri="{3e2802c4-a4d2-4d8b-9148-e3be6c30e623}">
          <xlrd:rvb i="85"/>
        </ext>
      </extLst>
    </bk>
    <bk>
      <extLst>
        <ext uri="{3e2802c4-a4d2-4d8b-9148-e3be6c30e623}">
          <xlrd:rvb i="86"/>
        </ext>
      </extLst>
    </bk>
    <bk>
      <extLst>
        <ext uri="{3e2802c4-a4d2-4d8b-9148-e3be6c30e623}">
          <xlrd:rvb i="87"/>
        </ext>
      </extLst>
    </bk>
    <bk>
      <extLst>
        <ext uri="{3e2802c4-a4d2-4d8b-9148-e3be6c30e623}">
          <xlrd:rvb i="88"/>
        </ext>
      </extLst>
    </bk>
    <bk>
      <extLst>
        <ext uri="{3e2802c4-a4d2-4d8b-9148-e3be6c30e623}">
          <xlrd:rvb i="89"/>
        </ext>
      </extLst>
    </bk>
    <bk>
      <extLst>
        <ext uri="{3e2802c4-a4d2-4d8b-9148-e3be6c30e623}">
          <xlrd:rvb i="90"/>
        </ext>
      </extLst>
    </bk>
    <bk>
      <extLst>
        <ext uri="{3e2802c4-a4d2-4d8b-9148-e3be6c30e623}">
          <xlrd:rvb i="91"/>
        </ext>
      </extLst>
    </bk>
    <bk>
      <extLst>
        <ext uri="{3e2802c4-a4d2-4d8b-9148-e3be6c30e623}">
          <xlrd:rvb i="92"/>
        </ext>
      </extLst>
    </bk>
    <bk>
      <extLst>
        <ext uri="{3e2802c4-a4d2-4d8b-9148-e3be6c30e623}">
          <xlrd:rvb i="93"/>
        </ext>
      </extLst>
    </bk>
    <bk>
      <extLst>
        <ext uri="{3e2802c4-a4d2-4d8b-9148-e3be6c30e623}">
          <xlrd:rvb i="94"/>
        </ext>
      </extLst>
    </bk>
    <bk>
      <extLst>
        <ext uri="{3e2802c4-a4d2-4d8b-9148-e3be6c30e623}">
          <xlrd:rvb i="95"/>
        </ext>
      </extLst>
    </bk>
    <bk>
      <extLst>
        <ext uri="{3e2802c4-a4d2-4d8b-9148-e3be6c30e623}">
          <xlrd:rvb i="96"/>
        </ext>
      </extLst>
    </bk>
    <bk>
      <extLst>
        <ext uri="{3e2802c4-a4d2-4d8b-9148-e3be6c30e623}">
          <xlrd:rvb i="97"/>
        </ext>
      </extLst>
    </bk>
    <bk>
      <extLst>
        <ext uri="{3e2802c4-a4d2-4d8b-9148-e3be6c30e623}">
          <xlrd:rvb i="98"/>
        </ext>
      </extLst>
    </bk>
    <bk>
      <extLst>
        <ext uri="{3e2802c4-a4d2-4d8b-9148-e3be6c30e623}">
          <xlrd:rvb i="99"/>
        </ext>
      </extLst>
    </bk>
    <bk>
      <extLst>
        <ext uri="{3e2802c4-a4d2-4d8b-9148-e3be6c30e623}">
          <xlrd:rvb i="100"/>
        </ext>
      </extLst>
    </bk>
    <bk>
      <extLst>
        <ext uri="{3e2802c4-a4d2-4d8b-9148-e3be6c30e623}">
          <xlrd:rvb i="101"/>
        </ext>
      </extLst>
    </bk>
    <bk>
      <extLst>
        <ext uri="{3e2802c4-a4d2-4d8b-9148-e3be6c30e623}">
          <xlrd:rvb i="102"/>
        </ext>
      </extLst>
    </bk>
    <bk>
      <extLst>
        <ext uri="{3e2802c4-a4d2-4d8b-9148-e3be6c30e623}">
          <xlrd:rvb i="103"/>
        </ext>
      </extLst>
    </bk>
    <bk>
      <extLst>
        <ext uri="{3e2802c4-a4d2-4d8b-9148-e3be6c30e623}">
          <xlrd:rvb i="104"/>
        </ext>
      </extLst>
    </bk>
    <bk>
      <extLst>
        <ext uri="{3e2802c4-a4d2-4d8b-9148-e3be6c30e623}">
          <xlrd:rvb i="105"/>
        </ext>
      </extLst>
    </bk>
    <bk>
      <extLst>
        <ext uri="{3e2802c4-a4d2-4d8b-9148-e3be6c30e623}">
          <xlrd:rvb i="106"/>
        </ext>
      </extLst>
    </bk>
    <bk>
      <extLst>
        <ext uri="{3e2802c4-a4d2-4d8b-9148-e3be6c30e623}">
          <xlrd:rvb i="107"/>
        </ext>
      </extLst>
    </bk>
    <bk>
      <extLst>
        <ext uri="{3e2802c4-a4d2-4d8b-9148-e3be6c30e623}">
          <xlrd:rvb i="108"/>
        </ext>
      </extLst>
    </bk>
    <bk>
      <extLst>
        <ext uri="{3e2802c4-a4d2-4d8b-9148-e3be6c30e623}">
          <xlrd:rvb i="109"/>
        </ext>
      </extLst>
    </bk>
    <bk>
      <extLst>
        <ext uri="{3e2802c4-a4d2-4d8b-9148-e3be6c30e623}">
          <xlrd:rvb i="110"/>
        </ext>
      </extLst>
    </bk>
    <bk>
      <extLst>
        <ext uri="{3e2802c4-a4d2-4d8b-9148-e3be6c30e623}">
          <xlrd:rvb i="111"/>
        </ext>
      </extLst>
    </bk>
    <bk>
      <extLst>
        <ext uri="{3e2802c4-a4d2-4d8b-9148-e3be6c30e623}">
          <xlrd:rvb i="112"/>
        </ext>
      </extLst>
    </bk>
    <bk>
      <extLst>
        <ext uri="{3e2802c4-a4d2-4d8b-9148-e3be6c30e623}">
          <xlrd:rvb i="113"/>
        </ext>
      </extLst>
    </bk>
    <bk>
      <extLst>
        <ext uri="{3e2802c4-a4d2-4d8b-9148-e3be6c30e623}">
          <xlrd:rvb i="114"/>
        </ext>
      </extLst>
    </bk>
    <bk>
      <extLst>
        <ext uri="{3e2802c4-a4d2-4d8b-9148-e3be6c30e623}">
          <xlrd:rvb i="115"/>
        </ext>
      </extLst>
    </bk>
    <bk>
      <extLst>
        <ext uri="{3e2802c4-a4d2-4d8b-9148-e3be6c30e623}">
          <xlrd:rvb i="116"/>
        </ext>
      </extLst>
    </bk>
    <bk>
      <extLst>
        <ext uri="{3e2802c4-a4d2-4d8b-9148-e3be6c30e623}">
          <xlrd:rvb i="117"/>
        </ext>
      </extLst>
    </bk>
    <bk>
      <extLst>
        <ext uri="{3e2802c4-a4d2-4d8b-9148-e3be6c30e623}">
          <xlrd:rvb i="118"/>
        </ext>
      </extLst>
    </bk>
    <bk>
      <extLst>
        <ext uri="{3e2802c4-a4d2-4d8b-9148-e3be6c30e623}">
          <xlrd:rvb i="119"/>
        </ext>
      </extLst>
    </bk>
    <bk>
      <extLst>
        <ext uri="{3e2802c4-a4d2-4d8b-9148-e3be6c30e623}">
          <xlrd:rvb i="120"/>
        </ext>
      </extLst>
    </bk>
    <bk>
      <extLst>
        <ext uri="{3e2802c4-a4d2-4d8b-9148-e3be6c30e623}">
          <xlrd:rvb i="121"/>
        </ext>
      </extLst>
    </bk>
    <bk>
      <extLst>
        <ext uri="{3e2802c4-a4d2-4d8b-9148-e3be6c30e623}">
          <xlrd:rvb i="122"/>
        </ext>
      </extLst>
    </bk>
    <bk>
      <extLst>
        <ext uri="{3e2802c4-a4d2-4d8b-9148-e3be6c30e623}">
          <xlrd:rvb i="123"/>
        </ext>
      </extLst>
    </bk>
    <bk>
      <extLst>
        <ext uri="{3e2802c4-a4d2-4d8b-9148-e3be6c30e623}">
          <xlrd:rvb i="124"/>
        </ext>
      </extLst>
    </bk>
    <bk>
      <extLst>
        <ext uri="{3e2802c4-a4d2-4d8b-9148-e3be6c30e623}">
          <xlrd:rvb i="125"/>
        </ext>
      </extLst>
    </bk>
    <bk>
      <extLst>
        <ext uri="{3e2802c4-a4d2-4d8b-9148-e3be6c30e623}">
          <xlrd:rvb i="126"/>
        </ext>
      </extLst>
    </bk>
    <bk>
      <extLst>
        <ext uri="{3e2802c4-a4d2-4d8b-9148-e3be6c30e623}">
          <xlrd:rvb i="127"/>
        </ext>
      </extLst>
    </bk>
    <bk>
      <extLst>
        <ext uri="{3e2802c4-a4d2-4d8b-9148-e3be6c30e623}">
          <xlrd:rvb i="128"/>
        </ext>
      </extLst>
    </bk>
    <bk>
      <extLst>
        <ext uri="{3e2802c4-a4d2-4d8b-9148-e3be6c30e623}">
          <xlrd:rvb i="129"/>
        </ext>
      </extLst>
    </bk>
    <bk>
      <extLst>
        <ext uri="{3e2802c4-a4d2-4d8b-9148-e3be6c30e623}">
          <xlrd:rvb i="130"/>
        </ext>
      </extLst>
    </bk>
    <bk>
      <extLst>
        <ext uri="{3e2802c4-a4d2-4d8b-9148-e3be6c30e623}">
          <xlrd:rvb i="131"/>
        </ext>
      </extLst>
    </bk>
    <bk>
      <extLst>
        <ext uri="{3e2802c4-a4d2-4d8b-9148-e3be6c30e623}">
          <xlrd:rvb i="132"/>
        </ext>
      </extLst>
    </bk>
    <bk>
      <extLst>
        <ext uri="{3e2802c4-a4d2-4d8b-9148-e3be6c30e623}">
          <xlrd:rvb i="133"/>
        </ext>
      </extLst>
    </bk>
    <bk>
      <extLst>
        <ext uri="{3e2802c4-a4d2-4d8b-9148-e3be6c30e623}">
          <xlrd:rvb i="134"/>
        </ext>
      </extLst>
    </bk>
    <bk>
      <extLst>
        <ext uri="{3e2802c4-a4d2-4d8b-9148-e3be6c30e623}">
          <xlrd:rvb i="135"/>
        </ext>
      </extLst>
    </bk>
    <bk>
      <extLst>
        <ext uri="{3e2802c4-a4d2-4d8b-9148-e3be6c30e623}">
          <xlrd:rvb i="136"/>
        </ext>
      </extLst>
    </bk>
    <bk>
      <extLst>
        <ext uri="{3e2802c4-a4d2-4d8b-9148-e3be6c30e623}">
          <xlrd:rvb i="137"/>
        </ext>
      </extLst>
    </bk>
    <bk>
      <extLst>
        <ext uri="{3e2802c4-a4d2-4d8b-9148-e3be6c30e623}">
          <xlrd:rvb i="138"/>
        </ext>
      </extLst>
    </bk>
    <bk>
      <extLst>
        <ext uri="{3e2802c4-a4d2-4d8b-9148-e3be6c30e623}">
          <xlrd:rvb i="139"/>
        </ext>
      </extLst>
    </bk>
    <bk>
      <extLst>
        <ext uri="{3e2802c4-a4d2-4d8b-9148-e3be6c30e623}">
          <xlrd:rvb i="140"/>
        </ext>
      </extLst>
    </bk>
    <bk>
      <extLst>
        <ext uri="{3e2802c4-a4d2-4d8b-9148-e3be6c30e623}">
          <xlrd:rvb i="141"/>
        </ext>
      </extLst>
    </bk>
    <bk>
      <extLst>
        <ext uri="{3e2802c4-a4d2-4d8b-9148-e3be6c30e623}">
          <xlrd:rvb i="142"/>
        </ext>
      </extLst>
    </bk>
    <bk>
      <extLst>
        <ext uri="{3e2802c4-a4d2-4d8b-9148-e3be6c30e623}">
          <xlrd:rvb i="143"/>
        </ext>
      </extLst>
    </bk>
    <bk>
      <extLst>
        <ext uri="{3e2802c4-a4d2-4d8b-9148-e3be6c30e623}">
          <xlrd:rvb i="144"/>
        </ext>
      </extLst>
    </bk>
    <bk>
      <extLst>
        <ext uri="{3e2802c4-a4d2-4d8b-9148-e3be6c30e623}">
          <xlrd:rvb i="145"/>
        </ext>
      </extLst>
    </bk>
    <bk>
      <extLst>
        <ext uri="{3e2802c4-a4d2-4d8b-9148-e3be6c30e623}">
          <xlrd:rvb i="146"/>
        </ext>
      </extLst>
    </bk>
    <bk>
      <extLst>
        <ext uri="{3e2802c4-a4d2-4d8b-9148-e3be6c30e623}">
          <xlrd:rvb i="147"/>
        </ext>
      </extLst>
    </bk>
    <bk>
      <extLst>
        <ext uri="{3e2802c4-a4d2-4d8b-9148-e3be6c30e623}">
          <xlrd:rvb i="148"/>
        </ext>
      </extLst>
    </bk>
    <bk>
      <extLst>
        <ext uri="{3e2802c4-a4d2-4d8b-9148-e3be6c30e623}">
          <xlrd:rvb i="149"/>
        </ext>
      </extLst>
    </bk>
    <bk>
      <extLst>
        <ext uri="{3e2802c4-a4d2-4d8b-9148-e3be6c30e623}">
          <xlrd:rvb i="150"/>
        </ext>
      </extLst>
    </bk>
    <bk>
      <extLst>
        <ext uri="{3e2802c4-a4d2-4d8b-9148-e3be6c30e623}">
          <xlrd:rvb i="151"/>
        </ext>
      </extLst>
    </bk>
    <bk>
      <extLst>
        <ext uri="{3e2802c4-a4d2-4d8b-9148-e3be6c30e623}">
          <xlrd:rvb i="152"/>
        </ext>
      </extLst>
    </bk>
    <bk>
      <extLst>
        <ext uri="{3e2802c4-a4d2-4d8b-9148-e3be6c30e623}">
          <xlrd:rvb i="153"/>
        </ext>
      </extLst>
    </bk>
    <bk>
      <extLst>
        <ext uri="{3e2802c4-a4d2-4d8b-9148-e3be6c30e623}">
          <xlrd:rvb i="154"/>
        </ext>
      </extLst>
    </bk>
    <bk>
      <extLst>
        <ext uri="{3e2802c4-a4d2-4d8b-9148-e3be6c30e623}">
          <xlrd:rvb i="155"/>
        </ext>
      </extLst>
    </bk>
    <bk>
      <extLst>
        <ext uri="{3e2802c4-a4d2-4d8b-9148-e3be6c30e623}">
          <xlrd:rvb i="156"/>
        </ext>
      </extLst>
    </bk>
    <bk>
      <extLst>
        <ext uri="{3e2802c4-a4d2-4d8b-9148-e3be6c30e623}">
          <xlrd:rvb i="157"/>
        </ext>
      </extLst>
    </bk>
    <bk>
      <extLst>
        <ext uri="{3e2802c4-a4d2-4d8b-9148-e3be6c30e623}">
          <xlrd:rvb i="158"/>
        </ext>
      </extLst>
    </bk>
    <bk>
      <extLst>
        <ext uri="{3e2802c4-a4d2-4d8b-9148-e3be6c30e623}">
          <xlrd:rvb i="159"/>
        </ext>
      </extLst>
    </bk>
    <bk>
      <extLst>
        <ext uri="{3e2802c4-a4d2-4d8b-9148-e3be6c30e623}">
          <xlrd:rvb i="160"/>
        </ext>
      </extLst>
    </bk>
    <bk>
      <extLst>
        <ext uri="{3e2802c4-a4d2-4d8b-9148-e3be6c30e623}">
          <xlrd:rvb i="161"/>
        </ext>
      </extLst>
    </bk>
    <bk>
      <extLst>
        <ext uri="{3e2802c4-a4d2-4d8b-9148-e3be6c30e623}">
          <xlrd:rvb i="162"/>
        </ext>
      </extLst>
    </bk>
    <bk>
      <extLst>
        <ext uri="{3e2802c4-a4d2-4d8b-9148-e3be6c30e623}">
          <xlrd:rvb i="163"/>
        </ext>
      </extLst>
    </bk>
    <bk>
      <extLst>
        <ext uri="{3e2802c4-a4d2-4d8b-9148-e3be6c30e623}">
          <xlrd:rvb i="164"/>
        </ext>
      </extLst>
    </bk>
    <bk>
      <extLst>
        <ext uri="{3e2802c4-a4d2-4d8b-9148-e3be6c30e623}">
          <xlrd:rvb i="165"/>
        </ext>
      </extLst>
    </bk>
    <bk>
      <extLst>
        <ext uri="{3e2802c4-a4d2-4d8b-9148-e3be6c30e623}">
          <xlrd:rvb i="166"/>
        </ext>
      </extLst>
    </bk>
    <bk>
      <extLst>
        <ext uri="{3e2802c4-a4d2-4d8b-9148-e3be6c30e623}">
          <xlrd:rvb i="167"/>
        </ext>
      </extLst>
    </bk>
    <bk>
      <extLst>
        <ext uri="{3e2802c4-a4d2-4d8b-9148-e3be6c30e623}">
          <xlrd:rvb i="168"/>
        </ext>
      </extLst>
    </bk>
    <bk>
      <extLst>
        <ext uri="{3e2802c4-a4d2-4d8b-9148-e3be6c30e623}">
          <xlrd:rvb i="169"/>
        </ext>
      </extLst>
    </bk>
    <bk>
      <extLst>
        <ext uri="{3e2802c4-a4d2-4d8b-9148-e3be6c30e623}">
          <xlrd:rvb i="170"/>
        </ext>
      </extLst>
    </bk>
    <bk>
      <extLst>
        <ext uri="{3e2802c4-a4d2-4d8b-9148-e3be6c30e623}">
          <xlrd:rvb i="171"/>
        </ext>
      </extLst>
    </bk>
    <bk>
      <extLst>
        <ext uri="{3e2802c4-a4d2-4d8b-9148-e3be6c30e623}">
          <xlrd:rvb i="172"/>
        </ext>
      </extLst>
    </bk>
    <bk>
      <extLst>
        <ext uri="{3e2802c4-a4d2-4d8b-9148-e3be6c30e623}">
          <xlrd:rvb i="173"/>
        </ext>
      </extLst>
    </bk>
    <bk>
      <extLst>
        <ext uri="{3e2802c4-a4d2-4d8b-9148-e3be6c30e623}">
          <xlrd:rvb i="174"/>
        </ext>
      </extLst>
    </bk>
    <bk>
      <extLst>
        <ext uri="{3e2802c4-a4d2-4d8b-9148-e3be6c30e623}">
          <xlrd:rvb i="175"/>
        </ext>
      </extLst>
    </bk>
    <bk>
      <extLst>
        <ext uri="{3e2802c4-a4d2-4d8b-9148-e3be6c30e623}">
          <xlrd:rvb i="176"/>
        </ext>
      </extLst>
    </bk>
    <bk>
      <extLst>
        <ext uri="{3e2802c4-a4d2-4d8b-9148-e3be6c30e623}">
          <xlrd:rvb i="177"/>
        </ext>
      </extLst>
    </bk>
    <bk>
      <extLst>
        <ext uri="{3e2802c4-a4d2-4d8b-9148-e3be6c30e623}">
          <xlrd:rvb i="178"/>
        </ext>
      </extLst>
    </bk>
    <bk>
      <extLst>
        <ext uri="{3e2802c4-a4d2-4d8b-9148-e3be6c30e623}">
          <xlrd:rvb i="179"/>
        </ext>
      </extLst>
    </bk>
    <bk>
      <extLst>
        <ext uri="{3e2802c4-a4d2-4d8b-9148-e3be6c30e623}">
          <xlrd:rvb i="180"/>
        </ext>
      </extLst>
    </bk>
    <bk>
      <extLst>
        <ext uri="{3e2802c4-a4d2-4d8b-9148-e3be6c30e623}">
          <xlrd:rvb i="181"/>
        </ext>
      </extLst>
    </bk>
    <bk>
      <extLst>
        <ext uri="{3e2802c4-a4d2-4d8b-9148-e3be6c30e623}">
          <xlrd:rvb i="182"/>
        </ext>
      </extLst>
    </bk>
    <bk>
      <extLst>
        <ext uri="{3e2802c4-a4d2-4d8b-9148-e3be6c30e623}">
          <xlrd:rvb i="183"/>
        </ext>
      </extLst>
    </bk>
    <bk>
      <extLst>
        <ext uri="{3e2802c4-a4d2-4d8b-9148-e3be6c30e623}">
          <xlrd:rvb i="184"/>
        </ext>
      </extLst>
    </bk>
    <bk>
      <extLst>
        <ext uri="{3e2802c4-a4d2-4d8b-9148-e3be6c30e623}">
          <xlrd:rvb i="185"/>
        </ext>
      </extLst>
    </bk>
    <bk>
      <extLst>
        <ext uri="{3e2802c4-a4d2-4d8b-9148-e3be6c30e623}">
          <xlrd:rvb i="186"/>
        </ext>
      </extLst>
    </bk>
    <bk>
      <extLst>
        <ext uri="{3e2802c4-a4d2-4d8b-9148-e3be6c30e623}">
          <xlrd:rvb i="187"/>
        </ext>
      </extLst>
    </bk>
    <bk>
      <extLst>
        <ext uri="{3e2802c4-a4d2-4d8b-9148-e3be6c30e623}">
          <xlrd:rvb i="188"/>
        </ext>
      </extLst>
    </bk>
    <bk>
      <extLst>
        <ext uri="{3e2802c4-a4d2-4d8b-9148-e3be6c30e623}">
          <xlrd:rvb i="189"/>
        </ext>
      </extLst>
    </bk>
    <bk>
      <extLst>
        <ext uri="{3e2802c4-a4d2-4d8b-9148-e3be6c30e623}">
          <xlrd:rvb i="190"/>
        </ext>
      </extLst>
    </bk>
    <bk>
      <extLst>
        <ext uri="{3e2802c4-a4d2-4d8b-9148-e3be6c30e623}">
          <xlrd:rvb i="191"/>
        </ext>
      </extLst>
    </bk>
    <bk>
      <extLst>
        <ext uri="{3e2802c4-a4d2-4d8b-9148-e3be6c30e623}">
          <xlrd:rvb i="192"/>
        </ext>
      </extLst>
    </bk>
    <bk>
      <extLst>
        <ext uri="{3e2802c4-a4d2-4d8b-9148-e3be6c30e623}">
          <xlrd:rvb i="193"/>
        </ext>
      </extLst>
    </bk>
    <bk>
      <extLst>
        <ext uri="{3e2802c4-a4d2-4d8b-9148-e3be6c30e623}">
          <xlrd:rvb i="194"/>
        </ext>
      </extLst>
    </bk>
    <bk>
      <extLst>
        <ext uri="{3e2802c4-a4d2-4d8b-9148-e3be6c30e623}">
          <xlrd:rvb i="195"/>
        </ext>
      </extLst>
    </bk>
    <bk>
      <extLst>
        <ext uri="{3e2802c4-a4d2-4d8b-9148-e3be6c30e623}">
          <xlrd:rvb i="196"/>
        </ext>
      </extLst>
    </bk>
    <bk>
      <extLst>
        <ext uri="{3e2802c4-a4d2-4d8b-9148-e3be6c30e623}">
          <xlrd:rvb i="197"/>
        </ext>
      </extLst>
    </bk>
    <bk>
      <extLst>
        <ext uri="{3e2802c4-a4d2-4d8b-9148-e3be6c30e623}">
          <xlrd:rvb i="198"/>
        </ext>
      </extLst>
    </bk>
    <bk>
      <extLst>
        <ext uri="{3e2802c4-a4d2-4d8b-9148-e3be6c30e623}">
          <xlrd:rvb i="199"/>
        </ext>
      </extLst>
    </bk>
    <bk>
      <extLst>
        <ext uri="{3e2802c4-a4d2-4d8b-9148-e3be6c30e623}">
          <xlrd:rvb i="200"/>
        </ext>
      </extLst>
    </bk>
    <bk>
      <extLst>
        <ext uri="{3e2802c4-a4d2-4d8b-9148-e3be6c30e623}">
          <xlrd:rvb i="201"/>
        </ext>
      </extLst>
    </bk>
    <bk>
      <extLst>
        <ext uri="{3e2802c4-a4d2-4d8b-9148-e3be6c30e623}">
          <xlrd:rvb i="202"/>
        </ext>
      </extLst>
    </bk>
    <bk>
      <extLst>
        <ext uri="{3e2802c4-a4d2-4d8b-9148-e3be6c30e623}">
          <xlrd:rvb i="203"/>
        </ext>
      </extLst>
    </bk>
    <bk>
      <extLst>
        <ext uri="{3e2802c4-a4d2-4d8b-9148-e3be6c30e623}">
          <xlrd:rvb i="204"/>
        </ext>
      </extLst>
    </bk>
    <bk>
      <extLst>
        <ext uri="{3e2802c4-a4d2-4d8b-9148-e3be6c30e623}">
          <xlrd:rvb i="205"/>
        </ext>
      </extLst>
    </bk>
    <bk>
      <extLst>
        <ext uri="{3e2802c4-a4d2-4d8b-9148-e3be6c30e623}">
          <xlrd:rvb i="206"/>
        </ext>
      </extLst>
    </bk>
    <bk>
      <extLst>
        <ext uri="{3e2802c4-a4d2-4d8b-9148-e3be6c30e623}">
          <xlrd:rvb i="207"/>
        </ext>
      </extLst>
    </bk>
    <bk>
      <extLst>
        <ext uri="{3e2802c4-a4d2-4d8b-9148-e3be6c30e623}">
          <xlrd:rvb i="208"/>
        </ext>
      </extLst>
    </bk>
    <bk>
      <extLst>
        <ext uri="{3e2802c4-a4d2-4d8b-9148-e3be6c30e623}">
          <xlrd:rvb i="209"/>
        </ext>
      </extLst>
    </bk>
    <bk>
      <extLst>
        <ext uri="{3e2802c4-a4d2-4d8b-9148-e3be6c30e623}">
          <xlrd:rvb i="210"/>
        </ext>
      </extLst>
    </bk>
    <bk>
      <extLst>
        <ext uri="{3e2802c4-a4d2-4d8b-9148-e3be6c30e623}">
          <xlrd:rvb i="211"/>
        </ext>
      </extLst>
    </bk>
    <bk>
      <extLst>
        <ext uri="{3e2802c4-a4d2-4d8b-9148-e3be6c30e623}">
          <xlrd:rvb i="212"/>
        </ext>
      </extLst>
    </bk>
    <bk>
      <extLst>
        <ext uri="{3e2802c4-a4d2-4d8b-9148-e3be6c30e623}">
          <xlrd:rvb i="213"/>
        </ext>
      </extLst>
    </bk>
    <bk>
      <extLst>
        <ext uri="{3e2802c4-a4d2-4d8b-9148-e3be6c30e623}">
          <xlrd:rvb i="214"/>
        </ext>
      </extLst>
    </bk>
    <bk>
      <extLst>
        <ext uri="{3e2802c4-a4d2-4d8b-9148-e3be6c30e623}">
          <xlrd:rvb i="215"/>
        </ext>
      </extLst>
    </bk>
    <bk>
      <extLst>
        <ext uri="{3e2802c4-a4d2-4d8b-9148-e3be6c30e623}">
          <xlrd:rvb i="216"/>
        </ext>
      </extLst>
    </bk>
    <bk>
      <extLst>
        <ext uri="{3e2802c4-a4d2-4d8b-9148-e3be6c30e623}">
          <xlrd:rvb i="217"/>
        </ext>
      </extLst>
    </bk>
    <bk>
      <extLst>
        <ext uri="{3e2802c4-a4d2-4d8b-9148-e3be6c30e623}">
          <xlrd:rvb i="218"/>
        </ext>
      </extLst>
    </bk>
    <bk>
      <extLst>
        <ext uri="{3e2802c4-a4d2-4d8b-9148-e3be6c30e623}">
          <xlrd:rvb i="219"/>
        </ext>
      </extLst>
    </bk>
    <bk>
      <extLst>
        <ext uri="{3e2802c4-a4d2-4d8b-9148-e3be6c30e623}">
          <xlrd:rvb i="220"/>
        </ext>
      </extLst>
    </bk>
    <bk>
      <extLst>
        <ext uri="{3e2802c4-a4d2-4d8b-9148-e3be6c30e623}">
          <xlrd:rvb i="221"/>
        </ext>
      </extLst>
    </bk>
    <bk>
      <extLst>
        <ext uri="{3e2802c4-a4d2-4d8b-9148-e3be6c30e623}">
          <xlrd:rvb i="222"/>
        </ext>
      </extLst>
    </bk>
    <bk>
      <extLst>
        <ext uri="{3e2802c4-a4d2-4d8b-9148-e3be6c30e623}">
          <xlrd:rvb i="223"/>
        </ext>
      </extLst>
    </bk>
    <bk>
      <extLst>
        <ext uri="{3e2802c4-a4d2-4d8b-9148-e3be6c30e623}">
          <xlrd:rvb i="224"/>
        </ext>
      </extLst>
    </bk>
    <bk>
      <extLst>
        <ext uri="{3e2802c4-a4d2-4d8b-9148-e3be6c30e623}">
          <xlrd:rvb i="225"/>
        </ext>
      </extLst>
    </bk>
    <bk>
      <extLst>
        <ext uri="{3e2802c4-a4d2-4d8b-9148-e3be6c30e623}">
          <xlrd:rvb i="226"/>
        </ext>
      </extLst>
    </bk>
    <bk>
      <extLst>
        <ext uri="{3e2802c4-a4d2-4d8b-9148-e3be6c30e623}">
          <xlrd:rvb i="227"/>
        </ext>
      </extLst>
    </bk>
    <bk>
      <extLst>
        <ext uri="{3e2802c4-a4d2-4d8b-9148-e3be6c30e623}">
          <xlrd:rvb i="228"/>
        </ext>
      </extLst>
    </bk>
    <bk>
      <extLst>
        <ext uri="{3e2802c4-a4d2-4d8b-9148-e3be6c30e623}">
          <xlrd:rvb i="229"/>
        </ext>
      </extLst>
    </bk>
    <bk>
      <extLst>
        <ext uri="{3e2802c4-a4d2-4d8b-9148-e3be6c30e623}">
          <xlrd:rvb i="230"/>
        </ext>
      </extLst>
    </bk>
    <bk>
      <extLst>
        <ext uri="{3e2802c4-a4d2-4d8b-9148-e3be6c30e623}">
          <xlrd:rvb i="231"/>
        </ext>
      </extLst>
    </bk>
    <bk>
      <extLst>
        <ext uri="{3e2802c4-a4d2-4d8b-9148-e3be6c30e623}">
          <xlrd:rvb i="232"/>
        </ext>
      </extLst>
    </bk>
    <bk>
      <extLst>
        <ext uri="{3e2802c4-a4d2-4d8b-9148-e3be6c30e623}">
          <xlrd:rvb i="233"/>
        </ext>
      </extLst>
    </bk>
    <bk>
      <extLst>
        <ext uri="{3e2802c4-a4d2-4d8b-9148-e3be6c30e623}">
          <xlrd:rvb i="234"/>
        </ext>
      </extLst>
    </bk>
    <bk>
      <extLst>
        <ext uri="{3e2802c4-a4d2-4d8b-9148-e3be6c30e623}">
          <xlrd:rvb i="235"/>
        </ext>
      </extLst>
    </bk>
    <bk>
      <extLst>
        <ext uri="{3e2802c4-a4d2-4d8b-9148-e3be6c30e623}">
          <xlrd:rvb i="236"/>
        </ext>
      </extLst>
    </bk>
    <bk>
      <extLst>
        <ext uri="{3e2802c4-a4d2-4d8b-9148-e3be6c30e623}">
          <xlrd:rvb i="237"/>
        </ext>
      </extLst>
    </bk>
    <bk>
      <extLst>
        <ext uri="{3e2802c4-a4d2-4d8b-9148-e3be6c30e623}">
          <xlrd:rvb i="238"/>
        </ext>
      </extLst>
    </bk>
    <bk>
      <extLst>
        <ext uri="{3e2802c4-a4d2-4d8b-9148-e3be6c30e623}">
          <xlrd:rvb i="239"/>
        </ext>
      </extLst>
    </bk>
    <bk>
      <extLst>
        <ext uri="{3e2802c4-a4d2-4d8b-9148-e3be6c30e623}">
          <xlrd:rvb i="240"/>
        </ext>
      </extLst>
    </bk>
    <bk>
      <extLst>
        <ext uri="{3e2802c4-a4d2-4d8b-9148-e3be6c30e623}">
          <xlrd:rvb i="241"/>
        </ext>
      </extLst>
    </bk>
    <bk>
      <extLst>
        <ext uri="{3e2802c4-a4d2-4d8b-9148-e3be6c30e623}">
          <xlrd:rvb i="242"/>
        </ext>
      </extLst>
    </bk>
    <bk>
      <extLst>
        <ext uri="{3e2802c4-a4d2-4d8b-9148-e3be6c30e623}">
          <xlrd:rvb i="243"/>
        </ext>
      </extLst>
    </bk>
    <bk>
      <extLst>
        <ext uri="{3e2802c4-a4d2-4d8b-9148-e3be6c30e623}">
          <xlrd:rvb i="244"/>
        </ext>
      </extLst>
    </bk>
    <bk>
      <extLst>
        <ext uri="{3e2802c4-a4d2-4d8b-9148-e3be6c30e623}">
          <xlrd:rvb i="245"/>
        </ext>
      </extLst>
    </bk>
    <bk>
      <extLst>
        <ext uri="{3e2802c4-a4d2-4d8b-9148-e3be6c30e623}">
          <xlrd:rvb i="246"/>
        </ext>
      </extLst>
    </bk>
    <bk>
      <extLst>
        <ext uri="{3e2802c4-a4d2-4d8b-9148-e3be6c30e623}">
          <xlrd:rvb i="247"/>
        </ext>
      </extLst>
    </bk>
    <bk>
      <extLst>
        <ext uri="{3e2802c4-a4d2-4d8b-9148-e3be6c30e623}">
          <xlrd:rvb i="248"/>
        </ext>
      </extLst>
    </bk>
    <bk>
      <extLst>
        <ext uri="{3e2802c4-a4d2-4d8b-9148-e3be6c30e623}">
          <xlrd:rvb i="249"/>
        </ext>
      </extLst>
    </bk>
    <bk>
      <extLst>
        <ext uri="{3e2802c4-a4d2-4d8b-9148-e3be6c30e623}">
          <xlrd:rvb i="252"/>
        </ext>
      </extLst>
    </bk>
    <bk>
      <extLst>
        <ext uri="{3e2802c4-a4d2-4d8b-9148-e3be6c30e623}">
          <xlrd:rvb i="253"/>
        </ext>
      </extLst>
    </bk>
    <bk>
      <extLst>
        <ext uri="{3e2802c4-a4d2-4d8b-9148-e3be6c30e623}">
          <xlrd:rvb i="254"/>
        </ext>
      </extLst>
    </bk>
    <bk>
      <extLst>
        <ext uri="{3e2802c4-a4d2-4d8b-9148-e3be6c30e623}">
          <xlrd:rvb i="255"/>
        </ext>
      </extLst>
    </bk>
    <bk>
      <extLst>
        <ext uri="{3e2802c4-a4d2-4d8b-9148-e3be6c30e623}">
          <xlrd:rvb i="256"/>
        </ext>
      </extLst>
    </bk>
    <bk>
      <extLst>
        <ext uri="{3e2802c4-a4d2-4d8b-9148-e3be6c30e623}">
          <xlrd:rvb i="257"/>
        </ext>
      </extLst>
    </bk>
    <bk>
      <extLst>
        <ext uri="{3e2802c4-a4d2-4d8b-9148-e3be6c30e623}">
          <xlrd:rvb i="258"/>
        </ext>
      </extLst>
    </bk>
    <bk>
      <extLst>
        <ext uri="{3e2802c4-a4d2-4d8b-9148-e3be6c30e623}">
          <xlrd:rvb i="259"/>
        </ext>
      </extLst>
    </bk>
    <bk>
      <extLst>
        <ext uri="{3e2802c4-a4d2-4d8b-9148-e3be6c30e623}">
          <xlrd:rvb i="260"/>
        </ext>
      </extLst>
    </bk>
    <bk>
      <extLst>
        <ext uri="{3e2802c4-a4d2-4d8b-9148-e3be6c30e623}">
          <xlrd:rvb i="261"/>
        </ext>
      </extLst>
    </bk>
    <bk>
      <extLst>
        <ext uri="{3e2802c4-a4d2-4d8b-9148-e3be6c30e623}">
          <xlrd:rvb i="262"/>
        </ext>
      </extLst>
    </bk>
    <bk>
      <extLst>
        <ext uri="{3e2802c4-a4d2-4d8b-9148-e3be6c30e623}">
          <xlrd:rvb i="263"/>
        </ext>
      </extLst>
    </bk>
    <bk>
      <extLst>
        <ext uri="{3e2802c4-a4d2-4d8b-9148-e3be6c30e623}">
          <xlrd:rvb i="264"/>
        </ext>
      </extLst>
    </bk>
    <bk>
      <extLst>
        <ext uri="{3e2802c4-a4d2-4d8b-9148-e3be6c30e623}">
          <xlrd:rvb i="265"/>
        </ext>
      </extLst>
    </bk>
    <bk>
      <extLst>
        <ext uri="{3e2802c4-a4d2-4d8b-9148-e3be6c30e623}">
          <xlrd:rvb i="266"/>
        </ext>
      </extLst>
    </bk>
    <bk>
      <extLst>
        <ext uri="{3e2802c4-a4d2-4d8b-9148-e3be6c30e623}">
          <xlrd:rvb i="267"/>
        </ext>
      </extLst>
    </bk>
    <bk>
      <extLst>
        <ext uri="{3e2802c4-a4d2-4d8b-9148-e3be6c30e623}">
          <xlrd:rvb i="268"/>
        </ext>
      </extLst>
    </bk>
    <bk>
      <extLst>
        <ext uri="{3e2802c4-a4d2-4d8b-9148-e3be6c30e623}">
          <xlrd:rvb i="269"/>
        </ext>
      </extLst>
    </bk>
    <bk>
      <extLst>
        <ext uri="{3e2802c4-a4d2-4d8b-9148-e3be6c30e623}">
          <xlrd:rvb i="270"/>
        </ext>
      </extLst>
    </bk>
    <bk>
      <extLst>
        <ext uri="{3e2802c4-a4d2-4d8b-9148-e3be6c30e623}">
          <xlrd:rvb i="271"/>
        </ext>
      </extLst>
    </bk>
    <bk>
      <extLst>
        <ext uri="{3e2802c4-a4d2-4d8b-9148-e3be6c30e623}">
          <xlrd:rvb i="272"/>
        </ext>
      </extLst>
    </bk>
    <bk>
      <extLst>
        <ext uri="{3e2802c4-a4d2-4d8b-9148-e3be6c30e623}">
          <xlrd:rvb i="273"/>
        </ext>
      </extLst>
    </bk>
    <bk>
      <extLst>
        <ext uri="{3e2802c4-a4d2-4d8b-9148-e3be6c30e623}">
          <xlrd:rvb i="274"/>
        </ext>
      </extLst>
    </bk>
    <bk>
      <extLst>
        <ext uri="{3e2802c4-a4d2-4d8b-9148-e3be6c30e623}">
          <xlrd:rvb i="275"/>
        </ext>
      </extLst>
    </bk>
    <bk>
      <extLst>
        <ext uri="{3e2802c4-a4d2-4d8b-9148-e3be6c30e623}">
          <xlrd:rvb i="276"/>
        </ext>
      </extLst>
    </bk>
    <bk>
      <extLst>
        <ext uri="{3e2802c4-a4d2-4d8b-9148-e3be6c30e623}">
          <xlrd:rvb i="277"/>
        </ext>
      </extLst>
    </bk>
    <bk>
      <extLst>
        <ext uri="{3e2802c4-a4d2-4d8b-9148-e3be6c30e623}">
          <xlrd:rvb i="278"/>
        </ext>
      </extLst>
    </bk>
    <bk>
      <extLst>
        <ext uri="{3e2802c4-a4d2-4d8b-9148-e3be6c30e623}">
          <xlrd:rvb i="279"/>
        </ext>
      </extLst>
    </bk>
    <bk>
      <extLst>
        <ext uri="{3e2802c4-a4d2-4d8b-9148-e3be6c30e623}">
          <xlrd:rvb i="280"/>
        </ext>
      </extLst>
    </bk>
    <bk>
      <extLst>
        <ext uri="{3e2802c4-a4d2-4d8b-9148-e3be6c30e623}">
          <xlrd:rvb i="281"/>
        </ext>
      </extLst>
    </bk>
    <bk>
      <extLst>
        <ext uri="{3e2802c4-a4d2-4d8b-9148-e3be6c30e623}">
          <xlrd:rvb i="282"/>
        </ext>
      </extLst>
    </bk>
    <bk>
      <extLst>
        <ext uri="{3e2802c4-a4d2-4d8b-9148-e3be6c30e623}">
          <xlrd:rvb i="283"/>
        </ext>
      </extLst>
    </bk>
    <bk>
      <extLst>
        <ext uri="{3e2802c4-a4d2-4d8b-9148-e3be6c30e623}">
          <xlrd:rvb i="284"/>
        </ext>
      </extLst>
    </bk>
    <bk>
      <extLst>
        <ext uri="{3e2802c4-a4d2-4d8b-9148-e3be6c30e623}">
          <xlrd:rvb i="285"/>
        </ext>
      </extLst>
    </bk>
    <bk>
      <extLst>
        <ext uri="{3e2802c4-a4d2-4d8b-9148-e3be6c30e623}">
          <xlrd:rvb i="286"/>
        </ext>
      </extLst>
    </bk>
    <bk>
      <extLst>
        <ext uri="{3e2802c4-a4d2-4d8b-9148-e3be6c30e623}">
          <xlrd:rvb i="287"/>
        </ext>
      </extLst>
    </bk>
    <bk>
      <extLst>
        <ext uri="{3e2802c4-a4d2-4d8b-9148-e3be6c30e623}">
          <xlrd:rvb i="288"/>
        </ext>
      </extLst>
    </bk>
    <bk>
      <extLst>
        <ext uri="{3e2802c4-a4d2-4d8b-9148-e3be6c30e623}">
          <xlrd:rvb i="289"/>
        </ext>
      </extLst>
    </bk>
    <bk>
      <extLst>
        <ext uri="{3e2802c4-a4d2-4d8b-9148-e3be6c30e623}">
          <xlrd:rvb i="290"/>
        </ext>
      </extLst>
    </bk>
    <bk>
      <extLst>
        <ext uri="{3e2802c4-a4d2-4d8b-9148-e3be6c30e623}">
          <xlrd:rvb i="291"/>
        </ext>
      </extLst>
    </bk>
    <bk>
      <extLst>
        <ext uri="{3e2802c4-a4d2-4d8b-9148-e3be6c30e623}">
          <xlrd:rvb i="292"/>
        </ext>
      </extLst>
    </bk>
    <bk>
      <extLst>
        <ext uri="{3e2802c4-a4d2-4d8b-9148-e3be6c30e623}">
          <xlrd:rvb i="293"/>
        </ext>
      </extLst>
    </bk>
    <bk>
      <extLst>
        <ext uri="{3e2802c4-a4d2-4d8b-9148-e3be6c30e623}">
          <xlrd:rvb i="294"/>
        </ext>
      </extLst>
    </bk>
    <bk>
      <extLst>
        <ext uri="{3e2802c4-a4d2-4d8b-9148-e3be6c30e623}">
          <xlrd:rvb i="295"/>
        </ext>
      </extLst>
    </bk>
    <bk>
      <extLst>
        <ext uri="{3e2802c4-a4d2-4d8b-9148-e3be6c30e623}">
          <xlrd:rvb i="296"/>
        </ext>
      </extLst>
    </bk>
    <bk>
      <extLst>
        <ext uri="{3e2802c4-a4d2-4d8b-9148-e3be6c30e623}">
          <xlrd:rvb i="297"/>
        </ext>
      </extLst>
    </bk>
    <bk>
      <extLst>
        <ext uri="{3e2802c4-a4d2-4d8b-9148-e3be6c30e623}">
          <xlrd:rvb i="298"/>
        </ext>
      </extLst>
    </bk>
    <bk>
      <extLst>
        <ext uri="{3e2802c4-a4d2-4d8b-9148-e3be6c30e623}">
          <xlrd:rvb i="299"/>
        </ext>
      </extLst>
    </bk>
    <bk>
      <extLst>
        <ext uri="{3e2802c4-a4d2-4d8b-9148-e3be6c30e623}">
          <xlrd:rvb i="300"/>
        </ext>
      </extLst>
    </bk>
    <bk>
      <extLst>
        <ext uri="{3e2802c4-a4d2-4d8b-9148-e3be6c30e623}">
          <xlrd:rvb i="301"/>
        </ext>
      </extLst>
    </bk>
    <bk>
      <extLst>
        <ext uri="{3e2802c4-a4d2-4d8b-9148-e3be6c30e623}">
          <xlrd:rvb i="302"/>
        </ext>
      </extLst>
    </bk>
    <bk>
      <extLst>
        <ext uri="{3e2802c4-a4d2-4d8b-9148-e3be6c30e623}">
          <xlrd:rvb i="303"/>
        </ext>
      </extLst>
    </bk>
    <bk>
      <extLst>
        <ext uri="{3e2802c4-a4d2-4d8b-9148-e3be6c30e623}">
          <xlrd:rvb i="304"/>
        </ext>
      </extLst>
    </bk>
    <bk>
      <extLst>
        <ext uri="{3e2802c4-a4d2-4d8b-9148-e3be6c30e623}">
          <xlrd:rvb i="305"/>
        </ext>
      </extLst>
    </bk>
    <bk>
      <extLst>
        <ext uri="{3e2802c4-a4d2-4d8b-9148-e3be6c30e623}">
          <xlrd:rvb i="306"/>
        </ext>
      </extLst>
    </bk>
    <bk>
      <extLst>
        <ext uri="{3e2802c4-a4d2-4d8b-9148-e3be6c30e623}">
          <xlrd:rvb i="307"/>
        </ext>
      </extLst>
    </bk>
    <bk>
      <extLst>
        <ext uri="{3e2802c4-a4d2-4d8b-9148-e3be6c30e623}">
          <xlrd:rvb i="308"/>
        </ext>
      </extLst>
    </bk>
    <bk>
      <extLst>
        <ext uri="{3e2802c4-a4d2-4d8b-9148-e3be6c30e623}">
          <xlrd:rvb i="309"/>
        </ext>
      </extLst>
    </bk>
    <bk>
      <extLst>
        <ext uri="{3e2802c4-a4d2-4d8b-9148-e3be6c30e623}">
          <xlrd:rvb i="310"/>
        </ext>
      </extLst>
    </bk>
    <bk>
      <extLst>
        <ext uri="{3e2802c4-a4d2-4d8b-9148-e3be6c30e623}">
          <xlrd:rvb i="311"/>
        </ext>
      </extLst>
    </bk>
    <bk>
      <extLst>
        <ext uri="{3e2802c4-a4d2-4d8b-9148-e3be6c30e623}">
          <xlrd:rvb i="312"/>
        </ext>
      </extLst>
    </bk>
    <bk>
      <extLst>
        <ext uri="{3e2802c4-a4d2-4d8b-9148-e3be6c30e623}">
          <xlrd:rvb i="313"/>
        </ext>
      </extLst>
    </bk>
    <bk>
      <extLst>
        <ext uri="{3e2802c4-a4d2-4d8b-9148-e3be6c30e623}">
          <xlrd:rvb i="314"/>
        </ext>
      </extLst>
    </bk>
    <bk>
      <extLst>
        <ext uri="{3e2802c4-a4d2-4d8b-9148-e3be6c30e623}">
          <xlrd:rvb i="315"/>
        </ext>
      </extLst>
    </bk>
    <bk>
      <extLst>
        <ext uri="{3e2802c4-a4d2-4d8b-9148-e3be6c30e623}">
          <xlrd:rvb i="316"/>
        </ext>
      </extLst>
    </bk>
    <bk>
      <extLst>
        <ext uri="{3e2802c4-a4d2-4d8b-9148-e3be6c30e623}">
          <xlrd:rvb i="317"/>
        </ext>
      </extLst>
    </bk>
    <bk>
      <extLst>
        <ext uri="{3e2802c4-a4d2-4d8b-9148-e3be6c30e623}">
          <xlrd:rvb i="318"/>
        </ext>
      </extLst>
    </bk>
    <bk>
      <extLst>
        <ext uri="{3e2802c4-a4d2-4d8b-9148-e3be6c30e623}">
          <xlrd:rvb i="319"/>
        </ext>
      </extLst>
    </bk>
    <bk>
      <extLst>
        <ext uri="{3e2802c4-a4d2-4d8b-9148-e3be6c30e623}">
          <xlrd:rvb i="320"/>
        </ext>
      </extLst>
    </bk>
    <bk>
      <extLst>
        <ext uri="{3e2802c4-a4d2-4d8b-9148-e3be6c30e623}">
          <xlrd:rvb i="321"/>
        </ext>
      </extLst>
    </bk>
    <bk>
      <extLst>
        <ext uri="{3e2802c4-a4d2-4d8b-9148-e3be6c30e623}">
          <xlrd:rvb i="322"/>
        </ext>
      </extLst>
    </bk>
    <bk>
      <extLst>
        <ext uri="{3e2802c4-a4d2-4d8b-9148-e3be6c30e623}">
          <xlrd:rvb i="323"/>
        </ext>
      </extLst>
    </bk>
    <bk>
      <extLst>
        <ext uri="{3e2802c4-a4d2-4d8b-9148-e3be6c30e623}">
          <xlrd:rvb i="324"/>
        </ext>
      </extLst>
    </bk>
    <bk>
      <extLst>
        <ext uri="{3e2802c4-a4d2-4d8b-9148-e3be6c30e623}">
          <xlrd:rvb i="325"/>
        </ext>
      </extLst>
    </bk>
    <bk>
      <extLst>
        <ext uri="{3e2802c4-a4d2-4d8b-9148-e3be6c30e623}">
          <xlrd:rvb i="326"/>
        </ext>
      </extLst>
    </bk>
    <bk>
      <extLst>
        <ext uri="{3e2802c4-a4d2-4d8b-9148-e3be6c30e623}">
          <xlrd:rvb i="327"/>
        </ext>
      </extLst>
    </bk>
    <bk>
      <extLst>
        <ext uri="{3e2802c4-a4d2-4d8b-9148-e3be6c30e623}">
          <xlrd:rvb i="328"/>
        </ext>
      </extLst>
    </bk>
    <bk>
      <extLst>
        <ext uri="{3e2802c4-a4d2-4d8b-9148-e3be6c30e623}">
          <xlrd:rvb i="329"/>
        </ext>
      </extLst>
    </bk>
    <bk>
      <extLst>
        <ext uri="{3e2802c4-a4d2-4d8b-9148-e3be6c30e623}">
          <xlrd:rvb i="330"/>
        </ext>
      </extLst>
    </bk>
    <bk>
      <extLst>
        <ext uri="{3e2802c4-a4d2-4d8b-9148-e3be6c30e623}">
          <xlrd:rvb i="331"/>
        </ext>
      </extLst>
    </bk>
    <bk>
      <extLst>
        <ext uri="{3e2802c4-a4d2-4d8b-9148-e3be6c30e623}">
          <xlrd:rvb i="332"/>
        </ext>
      </extLst>
    </bk>
    <bk>
      <extLst>
        <ext uri="{3e2802c4-a4d2-4d8b-9148-e3be6c30e623}">
          <xlrd:rvb i="333"/>
        </ext>
      </extLst>
    </bk>
    <bk>
      <extLst>
        <ext uri="{3e2802c4-a4d2-4d8b-9148-e3be6c30e623}">
          <xlrd:rvb i="334"/>
        </ext>
      </extLst>
    </bk>
    <bk>
      <extLst>
        <ext uri="{3e2802c4-a4d2-4d8b-9148-e3be6c30e623}">
          <xlrd:rvb i="335"/>
        </ext>
      </extLst>
    </bk>
    <bk>
      <extLst>
        <ext uri="{3e2802c4-a4d2-4d8b-9148-e3be6c30e623}">
          <xlrd:rvb i="336"/>
        </ext>
      </extLst>
    </bk>
    <bk>
      <extLst>
        <ext uri="{3e2802c4-a4d2-4d8b-9148-e3be6c30e623}">
          <xlrd:rvb i="337"/>
        </ext>
      </extLst>
    </bk>
    <bk>
      <extLst>
        <ext uri="{3e2802c4-a4d2-4d8b-9148-e3be6c30e623}">
          <xlrd:rvb i="338"/>
        </ext>
      </extLst>
    </bk>
    <bk>
      <extLst>
        <ext uri="{3e2802c4-a4d2-4d8b-9148-e3be6c30e623}">
          <xlrd:rvb i="339"/>
        </ext>
      </extLst>
    </bk>
    <bk>
      <extLst>
        <ext uri="{3e2802c4-a4d2-4d8b-9148-e3be6c30e623}">
          <xlrd:rvb i="340"/>
        </ext>
      </extLst>
    </bk>
    <bk>
      <extLst>
        <ext uri="{3e2802c4-a4d2-4d8b-9148-e3be6c30e623}">
          <xlrd:rvb i="341"/>
        </ext>
      </extLst>
    </bk>
    <bk>
      <extLst>
        <ext uri="{3e2802c4-a4d2-4d8b-9148-e3be6c30e623}">
          <xlrd:rvb i="342"/>
        </ext>
      </extLst>
    </bk>
    <bk>
      <extLst>
        <ext uri="{3e2802c4-a4d2-4d8b-9148-e3be6c30e623}">
          <xlrd:rvb i="343"/>
        </ext>
      </extLst>
    </bk>
    <bk>
      <extLst>
        <ext uri="{3e2802c4-a4d2-4d8b-9148-e3be6c30e623}">
          <xlrd:rvb i="344"/>
        </ext>
      </extLst>
    </bk>
    <bk>
      <extLst>
        <ext uri="{3e2802c4-a4d2-4d8b-9148-e3be6c30e623}">
          <xlrd:rvb i="345"/>
        </ext>
      </extLst>
    </bk>
    <bk>
      <extLst>
        <ext uri="{3e2802c4-a4d2-4d8b-9148-e3be6c30e623}">
          <xlrd:rvb i="346"/>
        </ext>
      </extLst>
    </bk>
    <bk>
      <extLst>
        <ext uri="{3e2802c4-a4d2-4d8b-9148-e3be6c30e623}">
          <xlrd:rvb i="347"/>
        </ext>
      </extLst>
    </bk>
    <bk>
      <extLst>
        <ext uri="{3e2802c4-a4d2-4d8b-9148-e3be6c30e623}">
          <xlrd:rvb i="348"/>
        </ext>
      </extLst>
    </bk>
    <bk>
      <extLst>
        <ext uri="{3e2802c4-a4d2-4d8b-9148-e3be6c30e623}">
          <xlrd:rvb i="349"/>
        </ext>
      </extLst>
    </bk>
    <bk>
      <extLst>
        <ext uri="{3e2802c4-a4d2-4d8b-9148-e3be6c30e623}">
          <xlrd:rvb i="350"/>
        </ext>
      </extLst>
    </bk>
    <bk>
      <extLst>
        <ext uri="{3e2802c4-a4d2-4d8b-9148-e3be6c30e623}">
          <xlrd:rvb i="351"/>
        </ext>
      </extLst>
    </bk>
    <bk>
      <extLst>
        <ext uri="{3e2802c4-a4d2-4d8b-9148-e3be6c30e623}">
          <xlrd:rvb i="352"/>
        </ext>
      </extLst>
    </bk>
    <bk>
      <extLst>
        <ext uri="{3e2802c4-a4d2-4d8b-9148-e3be6c30e623}">
          <xlrd:rvb i="353"/>
        </ext>
      </extLst>
    </bk>
    <bk>
      <extLst>
        <ext uri="{3e2802c4-a4d2-4d8b-9148-e3be6c30e623}">
          <xlrd:rvb i="354"/>
        </ext>
      </extLst>
    </bk>
    <bk>
      <extLst>
        <ext uri="{3e2802c4-a4d2-4d8b-9148-e3be6c30e623}">
          <xlrd:rvb i="355"/>
        </ext>
      </extLst>
    </bk>
    <bk>
      <extLst>
        <ext uri="{3e2802c4-a4d2-4d8b-9148-e3be6c30e623}">
          <xlrd:rvb i="356"/>
        </ext>
      </extLst>
    </bk>
    <bk>
      <extLst>
        <ext uri="{3e2802c4-a4d2-4d8b-9148-e3be6c30e623}">
          <xlrd:rvb i="357"/>
        </ext>
      </extLst>
    </bk>
    <bk>
      <extLst>
        <ext uri="{3e2802c4-a4d2-4d8b-9148-e3be6c30e623}">
          <xlrd:rvb i="358"/>
        </ext>
      </extLst>
    </bk>
    <bk>
      <extLst>
        <ext uri="{3e2802c4-a4d2-4d8b-9148-e3be6c30e623}">
          <xlrd:rvb i="359"/>
        </ext>
      </extLst>
    </bk>
    <bk>
      <extLst>
        <ext uri="{3e2802c4-a4d2-4d8b-9148-e3be6c30e623}">
          <xlrd:rvb i="360"/>
        </ext>
      </extLst>
    </bk>
    <bk>
      <extLst>
        <ext uri="{3e2802c4-a4d2-4d8b-9148-e3be6c30e623}">
          <xlrd:rvb i="361"/>
        </ext>
      </extLst>
    </bk>
    <bk>
      <extLst>
        <ext uri="{3e2802c4-a4d2-4d8b-9148-e3be6c30e623}">
          <xlrd:rvb i="362"/>
        </ext>
      </extLst>
    </bk>
    <bk>
      <extLst>
        <ext uri="{3e2802c4-a4d2-4d8b-9148-e3be6c30e623}">
          <xlrd:rvb i="363"/>
        </ext>
      </extLst>
    </bk>
    <bk>
      <extLst>
        <ext uri="{3e2802c4-a4d2-4d8b-9148-e3be6c30e623}">
          <xlrd:rvb i="364"/>
        </ext>
      </extLst>
    </bk>
    <bk>
      <extLst>
        <ext uri="{3e2802c4-a4d2-4d8b-9148-e3be6c30e623}">
          <xlrd:rvb i="365"/>
        </ext>
      </extLst>
    </bk>
    <bk>
      <extLst>
        <ext uri="{3e2802c4-a4d2-4d8b-9148-e3be6c30e623}">
          <xlrd:rvb i="366"/>
        </ext>
      </extLst>
    </bk>
    <bk>
      <extLst>
        <ext uri="{3e2802c4-a4d2-4d8b-9148-e3be6c30e623}">
          <xlrd:rvb i="367"/>
        </ext>
      </extLst>
    </bk>
    <bk>
      <extLst>
        <ext uri="{3e2802c4-a4d2-4d8b-9148-e3be6c30e623}">
          <xlrd:rvb i="368"/>
        </ext>
      </extLst>
    </bk>
    <bk>
      <extLst>
        <ext uri="{3e2802c4-a4d2-4d8b-9148-e3be6c30e623}">
          <xlrd:rvb i="369"/>
        </ext>
      </extLst>
    </bk>
    <bk>
      <extLst>
        <ext uri="{3e2802c4-a4d2-4d8b-9148-e3be6c30e623}">
          <xlrd:rvb i="370"/>
        </ext>
      </extLst>
    </bk>
    <bk>
      <extLst>
        <ext uri="{3e2802c4-a4d2-4d8b-9148-e3be6c30e623}">
          <xlrd:rvb i="371"/>
        </ext>
      </extLst>
    </bk>
    <bk>
      <extLst>
        <ext uri="{3e2802c4-a4d2-4d8b-9148-e3be6c30e623}">
          <xlrd:rvb i="372"/>
        </ext>
      </extLst>
    </bk>
    <bk>
      <extLst>
        <ext uri="{3e2802c4-a4d2-4d8b-9148-e3be6c30e623}">
          <xlrd:rvb i="373"/>
        </ext>
      </extLst>
    </bk>
    <bk>
      <extLst>
        <ext uri="{3e2802c4-a4d2-4d8b-9148-e3be6c30e623}">
          <xlrd:rvb i="374"/>
        </ext>
      </extLst>
    </bk>
    <bk>
      <extLst>
        <ext uri="{3e2802c4-a4d2-4d8b-9148-e3be6c30e623}">
          <xlrd:rvb i="375"/>
        </ext>
      </extLst>
    </bk>
    <bk>
      <extLst>
        <ext uri="{3e2802c4-a4d2-4d8b-9148-e3be6c30e623}">
          <xlrd:rvb i="376"/>
        </ext>
      </extLst>
    </bk>
    <bk>
      <extLst>
        <ext uri="{3e2802c4-a4d2-4d8b-9148-e3be6c30e623}">
          <xlrd:rvb i="377"/>
        </ext>
      </extLst>
    </bk>
    <bk>
      <extLst>
        <ext uri="{3e2802c4-a4d2-4d8b-9148-e3be6c30e623}">
          <xlrd:rvb i="378"/>
        </ext>
      </extLst>
    </bk>
    <bk>
      <extLst>
        <ext uri="{3e2802c4-a4d2-4d8b-9148-e3be6c30e623}">
          <xlrd:rvb i="379"/>
        </ext>
      </extLst>
    </bk>
    <bk>
      <extLst>
        <ext uri="{3e2802c4-a4d2-4d8b-9148-e3be6c30e623}">
          <xlrd:rvb i="380"/>
        </ext>
      </extLst>
    </bk>
    <bk>
      <extLst>
        <ext uri="{3e2802c4-a4d2-4d8b-9148-e3be6c30e623}">
          <xlrd:rvb i="381"/>
        </ext>
      </extLst>
    </bk>
    <bk>
      <extLst>
        <ext uri="{3e2802c4-a4d2-4d8b-9148-e3be6c30e623}">
          <xlrd:rvb i="382"/>
        </ext>
      </extLst>
    </bk>
    <bk>
      <extLst>
        <ext uri="{3e2802c4-a4d2-4d8b-9148-e3be6c30e623}">
          <xlrd:rvb i="383"/>
        </ext>
      </extLst>
    </bk>
    <bk>
      <extLst>
        <ext uri="{3e2802c4-a4d2-4d8b-9148-e3be6c30e623}">
          <xlrd:rvb i="384"/>
        </ext>
      </extLst>
    </bk>
    <bk>
      <extLst>
        <ext uri="{3e2802c4-a4d2-4d8b-9148-e3be6c30e623}">
          <xlrd:rvb i="385"/>
        </ext>
      </extLst>
    </bk>
    <bk>
      <extLst>
        <ext uri="{3e2802c4-a4d2-4d8b-9148-e3be6c30e623}">
          <xlrd:rvb i="386"/>
        </ext>
      </extLst>
    </bk>
    <bk>
      <extLst>
        <ext uri="{3e2802c4-a4d2-4d8b-9148-e3be6c30e623}">
          <xlrd:rvb i="387"/>
        </ext>
      </extLst>
    </bk>
    <bk>
      <extLst>
        <ext uri="{3e2802c4-a4d2-4d8b-9148-e3be6c30e623}">
          <xlrd:rvb i="388"/>
        </ext>
      </extLst>
    </bk>
    <bk>
      <extLst>
        <ext uri="{3e2802c4-a4d2-4d8b-9148-e3be6c30e623}">
          <xlrd:rvb i="389"/>
        </ext>
      </extLst>
    </bk>
    <bk>
      <extLst>
        <ext uri="{3e2802c4-a4d2-4d8b-9148-e3be6c30e623}">
          <xlrd:rvb i="390"/>
        </ext>
      </extLst>
    </bk>
    <bk>
      <extLst>
        <ext uri="{3e2802c4-a4d2-4d8b-9148-e3be6c30e623}">
          <xlrd:rvb i="391"/>
        </ext>
      </extLst>
    </bk>
    <bk>
      <extLst>
        <ext uri="{3e2802c4-a4d2-4d8b-9148-e3be6c30e623}">
          <xlrd:rvb i="392"/>
        </ext>
      </extLst>
    </bk>
    <bk>
      <extLst>
        <ext uri="{3e2802c4-a4d2-4d8b-9148-e3be6c30e623}">
          <xlrd:rvb i="393"/>
        </ext>
      </extLst>
    </bk>
    <bk>
      <extLst>
        <ext uri="{3e2802c4-a4d2-4d8b-9148-e3be6c30e623}">
          <xlrd:rvb i="394"/>
        </ext>
      </extLst>
    </bk>
    <bk>
      <extLst>
        <ext uri="{3e2802c4-a4d2-4d8b-9148-e3be6c30e623}">
          <xlrd:rvb i="395"/>
        </ext>
      </extLst>
    </bk>
    <bk>
      <extLst>
        <ext uri="{3e2802c4-a4d2-4d8b-9148-e3be6c30e623}">
          <xlrd:rvb i="396"/>
        </ext>
      </extLst>
    </bk>
    <bk>
      <extLst>
        <ext uri="{3e2802c4-a4d2-4d8b-9148-e3be6c30e623}">
          <xlrd:rvb i="397"/>
        </ext>
      </extLst>
    </bk>
    <bk>
      <extLst>
        <ext uri="{3e2802c4-a4d2-4d8b-9148-e3be6c30e623}">
          <xlrd:rvb i="398"/>
        </ext>
      </extLst>
    </bk>
    <bk>
      <extLst>
        <ext uri="{3e2802c4-a4d2-4d8b-9148-e3be6c30e623}">
          <xlrd:rvb i="399"/>
        </ext>
      </extLst>
    </bk>
    <bk>
      <extLst>
        <ext uri="{3e2802c4-a4d2-4d8b-9148-e3be6c30e623}">
          <xlrd:rvb i="400"/>
        </ext>
      </extLst>
    </bk>
    <bk>
      <extLst>
        <ext uri="{3e2802c4-a4d2-4d8b-9148-e3be6c30e623}">
          <xlrd:rvb i="401"/>
        </ext>
      </extLst>
    </bk>
    <bk>
      <extLst>
        <ext uri="{3e2802c4-a4d2-4d8b-9148-e3be6c30e623}">
          <xlrd:rvb i="402"/>
        </ext>
      </extLst>
    </bk>
    <bk>
      <extLst>
        <ext uri="{3e2802c4-a4d2-4d8b-9148-e3be6c30e623}">
          <xlrd:rvb i="403"/>
        </ext>
      </extLst>
    </bk>
    <bk>
      <extLst>
        <ext uri="{3e2802c4-a4d2-4d8b-9148-e3be6c30e623}">
          <xlrd:rvb i="404"/>
        </ext>
      </extLst>
    </bk>
    <bk>
      <extLst>
        <ext uri="{3e2802c4-a4d2-4d8b-9148-e3be6c30e623}">
          <xlrd:rvb i="405"/>
        </ext>
      </extLst>
    </bk>
    <bk>
      <extLst>
        <ext uri="{3e2802c4-a4d2-4d8b-9148-e3be6c30e623}">
          <xlrd:rvb i="406"/>
        </ext>
      </extLst>
    </bk>
    <bk>
      <extLst>
        <ext uri="{3e2802c4-a4d2-4d8b-9148-e3be6c30e623}">
          <xlrd:rvb i="407"/>
        </ext>
      </extLst>
    </bk>
    <bk>
      <extLst>
        <ext uri="{3e2802c4-a4d2-4d8b-9148-e3be6c30e623}">
          <xlrd:rvb i="408"/>
        </ext>
      </extLst>
    </bk>
    <bk>
      <extLst>
        <ext uri="{3e2802c4-a4d2-4d8b-9148-e3be6c30e623}">
          <xlrd:rvb i="409"/>
        </ext>
      </extLst>
    </bk>
    <bk>
      <extLst>
        <ext uri="{3e2802c4-a4d2-4d8b-9148-e3be6c30e623}">
          <xlrd:rvb i="410"/>
        </ext>
      </extLst>
    </bk>
    <bk>
      <extLst>
        <ext uri="{3e2802c4-a4d2-4d8b-9148-e3be6c30e623}">
          <xlrd:rvb i="411"/>
        </ext>
      </extLst>
    </bk>
    <bk>
      <extLst>
        <ext uri="{3e2802c4-a4d2-4d8b-9148-e3be6c30e623}">
          <xlrd:rvb i="412"/>
        </ext>
      </extLst>
    </bk>
    <bk>
      <extLst>
        <ext uri="{3e2802c4-a4d2-4d8b-9148-e3be6c30e623}">
          <xlrd:rvb i="413"/>
        </ext>
      </extLst>
    </bk>
    <bk>
      <extLst>
        <ext uri="{3e2802c4-a4d2-4d8b-9148-e3be6c30e623}">
          <xlrd:rvb i="414"/>
        </ext>
      </extLst>
    </bk>
    <bk>
      <extLst>
        <ext uri="{3e2802c4-a4d2-4d8b-9148-e3be6c30e623}">
          <xlrd:rvb i="415"/>
        </ext>
      </extLst>
    </bk>
    <bk>
      <extLst>
        <ext uri="{3e2802c4-a4d2-4d8b-9148-e3be6c30e623}">
          <xlrd:rvb i="416"/>
        </ext>
      </extLst>
    </bk>
    <bk>
      <extLst>
        <ext uri="{3e2802c4-a4d2-4d8b-9148-e3be6c30e623}">
          <xlrd:rvb i="417"/>
        </ext>
      </extLst>
    </bk>
    <bk>
      <extLst>
        <ext uri="{3e2802c4-a4d2-4d8b-9148-e3be6c30e623}">
          <xlrd:rvb i="418"/>
        </ext>
      </extLst>
    </bk>
    <bk>
      <extLst>
        <ext uri="{3e2802c4-a4d2-4d8b-9148-e3be6c30e623}">
          <xlrd:rvb i="419"/>
        </ext>
      </extLst>
    </bk>
    <bk>
      <extLst>
        <ext uri="{3e2802c4-a4d2-4d8b-9148-e3be6c30e623}">
          <xlrd:rvb i="420"/>
        </ext>
      </extLst>
    </bk>
    <bk>
      <extLst>
        <ext uri="{3e2802c4-a4d2-4d8b-9148-e3be6c30e623}">
          <xlrd:rvb i="421"/>
        </ext>
      </extLst>
    </bk>
    <bk>
      <extLst>
        <ext uri="{3e2802c4-a4d2-4d8b-9148-e3be6c30e623}">
          <xlrd:rvb i="422"/>
        </ext>
      </extLst>
    </bk>
    <bk>
      <extLst>
        <ext uri="{3e2802c4-a4d2-4d8b-9148-e3be6c30e623}">
          <xlrd:rvb i="423"/>
        </ext>
      </extLst>
    </bk>
    <bk>
      <extLst>
        <ext uri="{3e2802c4-a4d2-4d8b-9148-e3be6c30e623}">
          <xlrd:rvb i="424"/>
        </ext>
      </extLst>
    </bk>
    <bk>
      <extLst>
        <ext uri="{3e2802c4-a4d2-4d8b-9148-e3be6c30e623}">
          <xlrd:rvb i="425"/>
        </ext>
      </extLst>
    </bk>
    <bk>
      <extLst>
        <ext uri="{3e2802c4-a4d2-4d8b-9148-e3be6c30e623}">
          <xlrd:rvb i="426"/>
        </ext>
      </extLst>
    </bk>
    <bk>
      <extLst>
        <ext uri="{3e2802c4-a4d2-4d8b-9148-e3be6c30e623}">
          <xlrd:rvb i="427"/>
        </ext>
      </extLst>
    </bk>
    <bk>
      <extLst>
        <ext uri="{3e2802c4-a4d2-4d8b-9148-e3be6c30e623}">
          <xlrd:rvb i="428"/>
        </ext>
      </extLst>
    </bk>
    <bk>
      <extLst>
        <ext uri="{3e2802c4-a4d2-4d8b-9148-e3be6c30e623}">
          <xlrd:rvb i="429"/>
        </ext>
      </extLst>
    </bk>
    <bk>
      <extLst>
        <ext uri="{3e2802c4-a4d2-4d8b-9148-e3be6c30e623}">
          <xlrd:rvb i="430"/>
        </ext>
      </extLst>
    </bk>
    <bk>
      <extLst>
        <ext uri="{3e2802c4-a4d2-4d8b-9148-e3be6c30e623}">
          <xlrd:rvb i="431"/>
        </ext>
      </extLst>
    </bk>
    <bk>
      <extLst>
        <ext uri="{3e2802c4-a4d2-4d8b-9148-e3be6c30e623}">
          <xlrd:rvb i="432"/>
        </ext>
      </extLst>
    </bk>
    <bk>
      <extLst>
        <ext uri="{3e2802c4-a4d2-4d8b-9148-e3be6c30e623}">
          <xlrd:rvb i="433"/>
        </ext>
      </extLst>
    </bk>
    <bk>
      <extLst>
        <ext uri="{3e2802c4-a4d2-4d8b-9148-e3be6c30e623}">
          <xlrd:rvb i="434"/>
        </ext>
      </extLst>
    </bk>
    <bk>
      <extLst>
        <ext uri="{3e2802c4-a4d2-4d8b-9148-e3be6c30e623}">
          <xlrd:rvb i="435"/>
        </ext>
      </extLst>
    </bk>
    <bk>
      <extLst>
        <ext uri="{3e2802c4-a4d2-4d8b-9148-e3be6c30e623}">
          <xlrd:rvb i="436"/>
        </ext>
      </extLst>
    </bk>
    <bk>
      <extLst>
        <ext uri="{3e2802c4-a4d2-4d8b-9148-e3be6c30e623}">
          <xlrd:rvb i="437"/>
        </ext>
      </extLst>
    </bk>
    <bk>
      <extLst>
        <ext uri="{3e2802c4-a4d2-4d8b-9148-e3be6c30e623}">
          <xlrd:rvb i="438"/>
        </ext>
      </extLst>
    </bk>
    <bk>
      <extLst>
        <ext uri="{3e2802c4-a4d2-4d8b-9148-e3be6c30e623}">
          <xlrd:rvb i="439"/>
        </ext>
      </extLst>
    </bk>
    <bk>
      <extLst>
        <ext uri="{3e2802c4-a4d2-4d8b-9148-e3be6c30e623}">
          <xlrd:rvb i="440"/>
        </ext>
      </extLst>
    </bk>
    <bk>
      <extLst>
        <ext uri="{3e2802c4-a4d2-4d8b-9148-e3be6c30e623}">
          <xlrd:rvb i="441"/>
        </ext>
      </extLst>
    </bk>
    <bk>
      <extLst>
        <ext uri="{3e2802c4-a4d2-4d8b-9148-e3be6c30e623}">
          <xlrd:rvb i="442"/>
        </ext>
      </extLst>
    </bk>
    <bk>
      <extLst>
        <ext uri="{3e2802c4-a4d2-4d8b-9148-e3be6c30e623}">
          <xlrd:rvb i="443"/>
        </ext>
      </extLst>
    </bk>
    <bk>
      <extLst>
        <ext uri="{3e2802c4-a4d2-4d8b-9148-e3be6c30e623}">
          <xlrd:rvb i="444"/>
        </ext>
      </extLst>
    </bk>
    <bk>
      <extLst>
        <ext uri="{3e2802c4-a4d2-4d8b-9148-e3be6c30e623}">
          <xlrd:rvb i="445"/>
        </ext>
      </extLst>
    </bk>
    <bk>
      <extLst>
        <ext uri="{3e2802c4-a4d2-4d8b-9148-e3be6c30e623}">
          <xlrd:rvb i="446"/>
        </ext>
      </extLst>
    </bk>
    <bk>
      <extLst>
        <ext uri="{3e2802c4-a4d2-4d8b-9148-e3be6c30e623}">
          <xlrd:rvb i="447"/>
        </ext>
      </extLst>
    </bk>
    <bk>
      <extLst>
        <ext uri="{3e2802c4-a4d2-4d8b-9148-e3be6c30e623}">
          <xlrd:rvb i="448"/>
        </ext>
      </extLst>
    </bk>
    <bk>
      <extLst>
        <ext uri="{3e2802c4-a4d2-4d8b-9148-e3be6c30e623}">
          <xlrd:rvb i="449"/>
        </ext>
      </extLst>
    </bk>
    <bk>
      <extLst>
        <ext uri="{3e2802c4-a4d2-4d8b-9148-e3be6c30e623}">
          <xlrd:rvb i="450"/>
        </ext>
      </extLst>
    </bk>
    <bk>
      <extLst>
        <ext uri="{3e2802c4-a4d2-4d8b-9148-e3be6c30e623}">
          <xlrd:rvb i="451"/>
        </ext>
      </extLst>
    </bk>
    <bk>
      <extLst>
        <ext uri="{3e2802c4-a4d2-4d8b-9148-e3be6c30e623}">
          <xlrd:rvb i="452"/>
        </ext>
      </extLst>
    </bk>
    <bk>
      <extLst>
        <ext uri="{3e2802c4-a4d2-4d8b-9148-e3be6c30e623}">
          <xlrd:rvb i="453"/>
        </ext>
      </extLst>
    </bk>
    <bk>
      <extLst>
        <ext uri="{3e2802c4-a4d2-4d8b-9148-e3be6c30e623}">
          <xlrd:rvb i="454"/>
        </ext>
      </extLst>
    </bk>
    <bk>
      <extLst>
        <ext uri="{3e2802c4-a4d2-4d8b-9148-e3be6c30e623}">
          <xlrd:rvb i="455"/>
        </ext>
      </extLst>
    </bk>
    <bk>
      <extLst>
        <ext uri="{3e2802c4-a4d2-4d8b-9148-e3be6c30e623}">
          <xlrd:rvb i="456"/>
        </ext>
      </extLst>
    </bk>
    <bk>
      <extLst>
        <ext uri="{3e2802c4-a4d2-4d8b-9148-e3be6c30e623}">
          <xlrd:rvb i="457"/>
        </ext>
      </extLst>
    </bk>
    <bk>
      <extLst>
        <ext uri="{3e2802c4-a4d2-4d8b-9148-e3be6c30e623}">
          <xlrd:rvb i="458"/>
        </ext>
      </extLst>
    </bk>
    <bk>
      <extLst>
        <ext uri="{3e2802c4-a4d2-4d8b-9148-e3be6c30e623}">
          <xlrd:rvb i="459"/>
        </ext>
      </extLst>
    </bk>
    <bk>
      <extLst>
        <ext uri="{3e2802c4-a4d2-4d8b-9148-e3be6c30e623}">
          <xlrd:rvb i="460"/>
        </ext>
      </extLst>
    </bk>
    <bk>
      <extLst>
        <ext uri="{3e2802c4-a4d2-4d8b-9148-e3be6c30e623}">
          <xlrd:rvb i="461"/>
        </ext>
      </extLst>
    </bk>
    <bk>
      <extLst>
        <ext uri="{3e2802c4-a4d2-4d8b-9148-e3be6c30e623}">
          <xlrd:rvb i="462"/>
        </ext>
      </extLst>
    </bk>
    <bk>
      <extLst>
        <ext uri="{3e2802c4-a4d2-4d8b-9148-e3be6c30e623}">
          <xlrd:rvb i="463"/>
        </ext>
      </extLst>
    </bk>
    <bk>
      <extLst>
        <ext uri="{3e2802c4-a4d2-4d8b-9148-e3be6c30e623}">
          <xlrd:rvb i="464"/>
        </ext>
      </extLst>
    </bk>
    <bk>
      <extLst>
        <ext uri="{3e2802c4-a4d2-4d8b-9148-e3be6c30e623}">
          <xlrd:rvb i="465"/>
        </ext>
      </extLst>
    </bk>
    <bk>
      <extLst>
        <ext uri="{3e2802c4-a4d2-4d8b-9148-e3be6c30e623}">
          <xlrd:rvb i="466"/>
        </ext>
      </extLst>
    </bk>
    <bk>
      <extLst>
        <ext uri="{3e2802c4-a4d2-4d8b-9148-e3be6c30e623}">
          <xlrd:rvb i="467"/>
        </ext>
      </extLst>
    </bk>
    <bk>
      <extLst>
        <ext uri="{3e2802c4-a4d2-4d8b-9148-e3be6c30e623}">
          <xlrd:rvb i="468"/>
        </ext>
      </extLst>
    </bk>
    <bk>
      <extLst>
        <ext uri="{3e2802c4-a4d2-4d8b-9148-e3be6c30e623}">
          <xlrd:rvb i="469"/>
        </ext>
      </extLst>
    </bk>
    <bk>
      <extLst>
        <ext uri="{3e2802c4-a4d2-4d8b-9148-e3be6c30e623}">
          <xlrd:rvb i="470"/>
        </ext>
      </extLst>
    </bk>
    <bk>
      <extLst>
        <ext uri="{3e2802c4-a4d2-4d8b-9148-e3be6c30e623}">
          <xlrd:rvb i="471"/>
        </ext>
      </extLst>
    </bk>
    <bk>
      <extLst>
        <ext uri="{3e2802c4-a4d2-4d8b-9148-e3be6c30e623}">
          <xlrd:rvb i="472"/>
        </ext>
      </extLst>
    </bk>
    <bk>
      <extLst>
        <ext uri="{3e2802c4-a4d2-4d8b-9148-e3be6c30e623}">
          <xlrd:rvb i="473"/>
        </ext>
      </extLst>
    </bk>
    <bk>
      <extLst>
        <ext uri="{3e2802c4-a4d2-4d8b-9148-e3be6c30e623}">
          <xlrd:rvb i="474"/>
        </ext>
      </extLst>
    </bk>
    <bk>
      <extLst>
        <ext uri="{3e2802c4-a4d2-4d8b-9148-e3be6c30e623}">
          <xlrd:rvb i="475"/>
        </ext>
      </extLst>
    </bk>
    <bk>
      <extLst>
        <ext uri="{3e2802c4-a4d2-4d8b-9148-e3be6c30e623}">
          <xlrd:rvb i="476"/>
        </ext>
      </extLst>
    </bk>
    <bk>
      <extLst>
        <ext uri="{3e2802c4-a4d2-4d8b-9148-e3be6c30e623}">
          <xlrd:rvb i="477"/>
        </ext>
      </extLst>
    </bk>
    <bk>
      <extLst>
        <ext uri="{3e2802c4-a4d2-4d8b-9148-e3be6c30e623}">
          <xlrd:rvb i="478"/>
        </ext>
      </extLst>
    </bk>
    <bk>
      <extLst>
        <ext uri="{3e2802c4-a4d2-4d8b-9148-e3be6c30e623}">
          <xlrd:rvb i="479"/>
        </ext>
      </extLst>
    </bk>
    <bk>
      <extLst>
        <ext uri="{3e2802c4-a4d2-4d8b-9148-e3be6c30e623}">
          <xlrd:rvb i="480"/>
        </ext>
      </extLst>
    </bk>
    <bk>
      <extLst>
        <ext uri="{3e2802c4-a4d2-4d8b-9148-e3be6c30e623}">
          <xlrd:rvb i="481"/>
        </ext>
      </extLst>
    </bk>
    <bk>
      <extLst>
        <ext uri="{3e2802c4-a4d2-4d8b-9148-e3be6c30e623}">
          <xlrd:rvb i="482"/>
        </ext>
      </extLst>
    </bk>
    <bk>
      <extLst>
        <ext uri="{3e2802c4-a4d2-4d8b-9148-e3be6c30e623}">
          <xlrd:rvb i="483"/>
        </ext>
      </extLst>
    </bk>
    <bk>
      <extLst>
        <ext uri="{3e2802c4-a4d2-4d8b-9148-e3be6c30e623}">
          <xlrd:rvb i="484"/>
        </ext>
      </extLst>
    </bk>
    <bk>
      <extLst>
        <ext uri="{3e2802c4-a4d2-4d8b-9148-e3be6c30e623}">
          <xlrd:rvb i="485"/>
        </ext>
      </extLst>
    </bk>
    <bk>
      <extLst>
        <ext uri="{3e2802c4-a4d2-4d8b-9148-e3be6c30e623}">
          <xlrd:rvb i="486"/>
        </ext>
      </extLst>
    </bk>
    <bk>
      <extLst>
        <ext uri="{3e2802c4-a4d2-4d8b-9148-e3be6c30e623}">
          <xlrd:rvb i="487"/>
        </ext>
      </extLst>
    </bk>
    <bk>
      <extLst>
        <ext uri="{3e2802c4-a4d2-4d8b-9148-e3be6c30e623}">
          <xlrd:rvb i="488"/>
        </ext>
      </extLst>
    </bk>
    <bk>
      <extLst>
        <ext uri="{3e2802c4-a4d2-4d8b-9148-e3be6c30e623}">
          <xlrd:rvb i="489"/>
        </ext>
      </extLst>
    </bk>
    <bk>
      <extLst>
        <ext uri="{3e2802c4-a4d2-4d8b-9148-e3be6c30e623}">
          <xlrd:rvb i="490"/>
        </ext>
      </extLst>
    </bk>
    <bk>
      <extLst>
        <ext uri="{3e2802c4-a4d2-4d8b-9148-e3be6c30e623}">
          <xlrd:rvb i="491"/>
        </ext>
      </extLst>
    </bk>
    <bk>
      <extLst>
        <ext uri="{3e2802c4-a4d2-4d8b-9148-e3be6c30e623}">
          <xlrd:rvb i="492"/>
        </ext>
      </extLst>
    </bk>
    <bk>
      <extLst>
        <ext uri="{3e2802c4-a4d2-4d8b-9148-e3be6c30e623}">
          <xlrd:rvb i="493"/>
        </ext>
      </extLst>
    </bk>
    <bk>
      <extLst>
        <ext uri="{3e2802c4-a4d2-4d8b-9148-e3be6c30e623}">
          <xlrd:rvb i="494"/>
        </ext>
      </extLst>
    </bk>
    <bk>
      <extLst>
        <ext uri="{3e2802c4-a4d2-4d8b-9148-e3be6c30e623}">
          <xlrd:rvb i="495"/>
        </ext>
      </extLst>
    </bk>
    <bk>
      <extLst>
        <ext uri="{3e2802c4-a4d2-4d8b-9148-e3be6c30e623}">
          <xlrd:rvb i="496"/>
        </ext>
      </extLst>
    </bk>
    <bk>
      <extLst>
        <ext uri="{3e2802c4-a4d2-4d8b-9148-e3be6c30e623}">
          <xlrd:rvb i="497"/>
        </ext>
      </extLst>
    </bk>
    <bk>
      <extLst>
        <ext uri="{3e2802c4-a4d2-4d8b-9148-e3be6c30e623}">
          <xlrd:rvb i="498"/>
        </ext>
      </extLst>
    </bk>
    <bk>
      <extLst>
        <ext uri="{3e2802c4-a4d2-4d8b-9148-e3be6c30e623}">
          <xlrd:rvb i="499"/>
        </ext>
      </extLst>
    </bk>
    <bk>
      <extLst>
        <ext uri="{3e2802c4-a4d2-4d8b-9148-e3be6c30e623}">
          <xlrd:rvb i="500"/>
        </ext>
      </extLst>
    </bk>
    <bk>
      <extLst>
        <ext uri="{3e2802c4-a4d2-4d8b-9148-e3be6c30e623}">
          <xlrd:rvb i="503"/>
        </ext>
      </extLst>
    </bk>
    <bk>
      <extLst>
        <ext uri="{3e2802c4-a4d2-4d8b-9148-e3be6c30e623}">
          <xlrd:rvb i="504"/>
        </ext>
      </extLst>
    </bk>
    <bk>
      <extLst>
        <ext uri="{3e2802c4-a4d2-4d8b-9148-e3be6c30e623}">
          <xlrd:rvb i="505"/>
        </ext>
      </extLst>
    </bk>
    <bk>
      <extLst>
        <ext uri="{3e2802c4-a4d2-4d8b-9148-e3be6c30e623}">
          <xlrd:rvb i="506"/>
        </ext>
      </extLst>
    </bk>
    <bk>
      <extLst>
        <ext uri="{3e2802c4-a4d2-4d8b-9148-e3be6c30e623}">
          <xlrd:rvb i="507"/>
        </ext>
      </extLst>
    </bk>
    <bk>
      <extLst>
        <ext uri="{3e2802c4-a4d2-4d8b-9148-e3be6c30e623}">
          <xlrd:rvb i="508"/>
        </ext>
      </extLst>
    </bk>
    <bk>
      <extLst>
        <ext uri="{3e2802c4-a4d2-4d8b-9148-e3be6c30e623}">
          <xlrd:rvb i="509"/>
        </ext>
      </extLst>
    </bk>
    <bk>
      <extLst>
        <ext uri="{3e2802c4-a4d2-4d8b-9148-e3be6c30e623}">
          <xlrd:rvb i="510"/>
        </ext>
      </extLst>
    </bk>
    <bk>
      <extLst>
        <ext uri="{3e2802c4-a4d2-4d8b-9148-e3be6c30e623}">
          <xlrd:rvb i="511"/>
        </ext>
      </extLst>
    </bk>
    <bk>
      <extLst>
        <ext uri="{3e2802c4-a4d2-4d8b-9148-e3be6c30e623}">
          <xlrd:rvb i="512"/>
        </ext>
      </extLst>
    </bk>
    <bk>
      <extLst>
        <ext uri="{3e2802c4-a4d2-4d8b-9148-e3be6c30e623}">
          <xlrd:rvb i="513"/>
        </ext>
      </extLst>
    </bk>
    <bk>
      <extLst>
        <ext uri="{3e2802c4-a4d2-4d8b-9148-e3be6c30e623}">
          <xlrd:rvb i="514"/>
        </ext>
      </extLst>
    </bk>
    <bk>
      <extLst>
        <ext uri="{3e2802c4-a4d2-4d8b-9148-e3be6c30e623}">
          <xlrd:rvb i="515"/>
        </ext>
      </extLst>
    </bk>
    <bk>
      <extLst>
        <ext uri="{3e2802c4-a4d2-4d8b-9148-e3be6c30e623}">
          <xlrd:rvb i="516"/>
        </ext>
      </extLst>
    </bk>
    <bk>
      <extLst>
        <ext uri="{3e2802c4-a4d2-4d8b-9148-e3be6c30e623}">
          <xlrd:rvb i="517"/>
        </ext>
      </extLst>
    </bk>
    <bk>
      <extLst>
        <ext uri="{3e2802c4-a4d2-4d8b-9148-e3be6c30e623}">
          <xlrd:rvb i="518"/>
        </ext>
      </extLst>
    </bk>
    <bk>
      <extLst>
        <ext uri="{3e2802c4-a4d2-4d8b-9148-e3be6c30e623}">
          <xlrd:rvb i="519"/>
        </ext>
      </extLst>
    </bk>
    <bk>
      <extLst>
        <ext uri="{3e2802c4-a4d2-4d8b-9148-e3be6c30e623}">
          <xlrd:rvb i="520"/>
        </ext>
      </extLst>
    </bk>
    <bk>
      <extLst>
        <ext uri="{3e2802c4-a4d2-4d8b-9148-e3be6c30e623}">
          <xlrd:rvb i="521"/>
        </ext>
      </extLst>
    </bk>
    <bk>
      <extLst>
        <ext uri="{3e2802c4-a4d2-4d8b-9148-e3be6c30e623}">
          <xlrd:rvb i="522"/>
        </ext>
      </extLst>
    </bk>
    <bk>
      <extLst>
        <ext uri="{3e2802c4-a4d2-4d8b-9148-e3be6c30e623}">
          <xlrd:rvb i="523"/>
        </ext>
      </extLst>
    </bk>
    <bk>
      <extLst>
        <ext uri="{3e2802c4-a4d2-4d8b-9148-e3be6c30e623}">
          <xlrd:rvb i="524"/>
        </ext>
      </extLst>
    </bk>
    <bk>
      <extLst>
        <ext uri="{3e2802c4-a4d2-4d8b-9148-e3be6c30e623}">
          <xlrd:rvb i="525"/>
        </ext>
      </extLst>
    </bk>
    <bk>
      <extLst>
        <ext uri="{3e2802c4-a4d2-4d8b-9148-e3be6c30e623}">
          <xlrd:rvb i="526"/>
        </ext>
      </extLst>
    </bk>
    <bk>
      <extLst>
        <ext uri="{3e2802c4-a4d2-4d8b-9148-e3be6c30e623}">
          <xlrd:rvb i="527"/>
        </ext>
      </extLst>
    </bk>
    <bk>
      <extLst>
        <ext uri="{3e2802c4-a4d2-4d8b-9148-e3be6c30e623}">
          <xlrd:rvb i="528"/>
        </ext>
      </extLst>
    </bk>
    <bk>
      <extLst>
        <ext uri="{3e2802c4-a4d2-4d8b-9148-e3be6c30e623}">
          <xlrd:rvb i="529"/>
        </ext>
      </extLst>
    </bk>
    <bk>
      <extLst>
        <ext uri="{3e2802c4-a4d2-4d8b-9148-e3be6c30e623}">
          <xlrd:rvb i="530"/>
        </ext>
      </extLst>
    </bk>
    <bk>
      <extLst>
        <ext uri="{3e2802c4-a4d2-4d8b-9148-e3be6c30e623}">
          <xlrd:rvb i="531"/>
        </ext>
      </extLst>
    </bk>
    <bk>
      <extLst>
        <ext uri="{3e2802c4-a4d2-4d8b-9148-e3be6c30e623}">
          <xlrd:rvb i="532"/>
        </ext>
      </extLst>
    </bk>
    <bk>
      <extLst>
        <ext uri="{3e2802c4-a4d2-4d8b-9148-e3be6c30e623}">
          <xlrd:rvb i="533"/>
        </ext>
      </extLst>
    </bk>
    <bk>
      <extLst>
        <ext uri="{3e2802c4-a4d2-4d8b-9148-e3be6c30e623}">
          <xlrd:rvb i="534"/>
        </ext>
      </extLst>
    </bk>
    <bk>
      <extLst>
        <ext uri="{3e2802c4-a4d2-4d8b-9148-e3be6c30e623}">
          <xlrd:rvb i="535"/>
        </ext>
      </extLst>
    </bk>
    <bk>
      <extLst>
        <ext uri="{3e2802c4-a4d2-4d8b-9148-e3be6c30e623}">
          <xlrd:rvb i="536"/>
        </ext>
      </extLst>
    </bk>
    <bk>
      <extLst>
        <ext uri="{3e2802c4-a4d2-4d8b-9148-e3be6c30e623}">
          <xlrd:rvb i="537"/>
        </ext>
      </extLst>
    </bk>
    <bk>
      <extLst>
        <ext uri="{3e2802c4-a4d2-4d8b-9148-e3be6c30e623}">
          <xlrd:rvb i="538"/>
        </ext>
      </extLst>
    </bk>
    <bk>
      <extLst>
        <ext uri="{3e2802c4-a4d2-4d8b-9148-e3be6c30e623}">
          <xlrd:rvb i="539"/>
        </ext>
      </extLst>
    </bk>
    <bk>
      <extLst>
        <ext uri="{3e2802c4-a4d2-4d8b-9148-e3be6c30e623}">
          <xlrd:rvb i="540"/>
        </ext>
      </extLst>
    </bk>
    <bk>
      <extLst>
        <ext uri="{3e2802c4-a4d2-4d8b-9148-e3be6c30e623}">
          <xlrd:rvb i="541"/>
        </ext>
      </extLst>
    </bk>
    <bk>
      <extLst>
        <ext uri="{3e2802c4-a4d2-4d8b-9148-e3be6c30e623}">
          <xlrd:rvb i="542"/>
        </ext>
      </extLst>
    </bk>
    <bk>
      <extLst>
        <ext uri="{3e2802c4-a4d2-4d8b-9148-e3be6c30e623}">
          <xlrd:rvb i="543"/>
        </ext>
      </extLst>
    </bk>
    <bk>
      <extLst>
        <ext uri="{3e2802c4-a4d2-4d8b-9148-e3be6c30e623}">
          <xlrd:rvb i="544"/>
        </ext>
      </extLst>
    </bk>
    <bk>
      <extLst>
        <ext uri="{3e2802c4-a4d2-4d8b-9148-e3be6c30e623}">
          <xlrd:rvb i="545"/>
        </ext>
      </extLst>
    </bk>
    <bk>
      <extLst>
        <ext uri="{3e2802c4-a4d2-4d8b-9148-e3be6c30e623}">
          <xlrd:rvb i="546"/>
        </ext>
      </extLst>
    </bk>
    <bk>
      <extLst>
        <ext uri="{3e2802c4-a4d2-4d8b-9148-e3be6c30e623}">
          <xlrd:rvb i="547"/>
        </ext>
      </extLst>
    </bk>
    <bk>
      <extLst>
        <ext uri="{3e2802c4-a4d2-4d8b-9148-e3be6c30e623}">
          <xlrd:rvb i="548"/>
        </ext>
      </extLst>
    </bk>
    <bk>
      <extLst>
        <ext uri="{3e2802c4-a4d2-4d8b-9148-e3be6c30e623}">
          <xlrd:rvb i="549"/>
        </ext>
      </extLst>
    </bk>
    <bk>
      <extLst>
        <ext uri="{3e2802c4-a4d2-4d8b-9148-e3be6c30e623}">
          <xlrd:rvb i="550"/>
        </ext>
      </extLst>
    </bk>
    <bk>
      <extLst>
        <ext uri="{3e2802c4-a4d2-4d8b-9148-e3be6c30e623}">
          <xlrd:rvb i="551"/>
        </ext>
      </extLst>
    </bk>
    <bk>
      <extLst>
        <ext uri="{3e2802c4-a4d2-4d8b-9148-e3be6c30e623}">
          <xlrd:rvb i="552"/>
        </ext>
      </extLst>
    </bk>
    <bk>
      <extLst>
        <ext uri="{3e2802c4-a4d2-4d8b-9148-e3be6c30e623}">
          <xlrd:rvb i="553"/>
        </ext>
      </extLst>
    </bk>
    <bk>
      <extLst>
        <ext uri="{3e2802c4-a4d2-4d8b-9148-e3be6c30e623}">
          <xlrd:rvb i="554"/>
        </ext>
      </extLst>
    </bk>
    <bk>
      <extLst>
        <ext uri="{3e2802c4-a4d2-4d8b-9148-e3be6c30e623}">
          <xlrd:rvb i="555"/>
        </ext>
      </extLst>
    </bk>
    <bk>
      <extLst>
        <ext uri="{3e2802c4-a4d2-4d8b-9148-e3be6c30e623}">
          <xlrd:rvb i="556"/>
        </ext>
      </extLst>
    </bk>
    <bk>
      <extLst>
        <ext uri="{3e2802c4-a4d2-4d8b-9148-e3be6c30e623}">
          <xlrd:rvb i="557"/>
        </ext>
      </extLst>
    </bk>
    <bk>
      <extLst>
        <ext uri="{3e2802c4-a4d2-4d8b-9148-e3be6c30e623}">
          <xlrd:rvb i="558"/>
        </ext>
      </extLst>
    </bk>
    <bk>
      <extLst>
        <ext uri="{3e2802c4-a4d2-4d8b-9148-e3be6c30e623}">
          <xlrd:rvb i="559"/>
        </ext>
      </extLst>
    </bk>
    <bk>
      <extLst>
        <ext uri="{3e2802c4-a4d2-4d8b-9148-e3be6c30e623}">
          <xlrd:rvb i="560"/>
        </ext>
      </extLst>
    </bk>
    <bk>
      <extLst>
        <ext uri="{3e2802c4-a4d2-4d8b-9148-e3be6c30e623}">
          <xlrd:rvb i="561"/>
        </ext>
      </extLst>
    </bk>
    <bk>
      <extLst>
        <ext uri="{3e2802c4-a4d2-4d8b-9148-e3be6c30e623}">
          <xlrd:rvb i="562"/>
        </ext>
      </extLst>
    </bk>
    <bk>
      <extLst>
        <ext uri="{3e2802c4-a4d2-4d8b-9148-e3be6c30e623}">
          <xlrd:rvb i="563"/>
        </ext>
      </extLst>
    </bk>
    <bk>
      <extLst>
        <ext uri="{3e2802c4-a4d2-4d8b-9148-e3be6c30e623}">
          <xlrd:rvb i="564"/>
        </ext>
      </extLst>
    </bk>
    <bk>
      <extLst>
        <ext uri="{3e2802c4-a4d2-4d8b-9148-e3be6c30e623}">
          <xlrd:rvb i="565"/>
        </ext>
      </extLst>
    </bk>
    <bk>
      <extLst>
        <ext uri="{3e2802c4-a4d2-4d8b-9148-e3be6c30e623}">
          <xlrd:rvb i="566"/>
        </ext>
      </extLst>
    </bk>
    <bk>
      <extLst>
        <ext uri="{3e2802c4-a4d2-4d8b-9148-e3be6c30e623}">
          <xlrd:rvb i="567"/>
        </ext>
      </extLst>
    </bk>
    <bk>
      <extLst>
        <ext uri="{3e2802c4-a4d2-4d8b-9148-e3be6c30e623}">
          <xlrd:rvb i="568"/>
        </ext>
      </extLst>
    </bk>
    <bk>
      <extLst>
        <ext uri="{3e2802c4-a4d2-4d8b-9148-e3be6c30e623}">
          <xlrd:rvb i="569"/>
        </ext>
      </extLst>
    </bk>
    <bk>
      <extLst>
        <ext uri="{3e2802c4-a4d2-4d8b-9148-e3be6c30e623}">
          <xlrd:rvb i="570"/>
        </ext>
      </extLst>
    </bk>
    <bk>
      <extLst>
        <ext uri="{3e2802c4-a4d2-4d8b-9148-e3be6c30e623}">
          <xlrd:rvb i="571"/>
        </ext>
      </extLst>
    </bk>
    <bk>
      <extLst>
        <ext uri="{3e2802c4-a4d2-4d8b-9148-e3be6c30e623}">
          <xlrd:rvb i="572"/>
        </ext>
      </extLst>
    </bk>
    <bk>
      <extLst>
        <ext uri="{3e2802c4-a4d2-4d8b-9148-e3be6c30e623}">
          <xlrd:rvb i="573"/>
        </ext>
      </extLst>
    </bk>
    <bk>
      <extLst>
        <ext uri="{3e2802c4-a4d2-4d8b-9148-e3be6c30e623}">
          <xlrd:rvb i="574"/>
        </ext>
      </extLst>
    </bk>
    <bk>
      <extLst>
        <ext uri="{3e2802c4-a4d2-4d8b-9148-e3be6c30e623}">
          <xlrd:rvb i="575"/>
        </ext>
      </extLst>
    </bk>
    <bk>
      <extLst>
        <ext uri="{3e2802c4-a4d2-4d8b-9148-e3be6c30e623}">
          <xlrd:rvb i="576"/>
        </ext>
      </extLst>
    </bk>
    <bk>
      <extLst>
        <ext uri="{3e2802c4-a4d2-4d8b-9148-e3be6c30e623}">
          <xlrd:rvb i="577"/>
        </ext>
      </extLst>
    </bk>
    <bk>
      <extLst>
        <ext uri="{3e2802c4-a4d2-4d8b-9148-e3be6c30e623}">
          <xlrd:rvb i="578"/>
        </ext>
      </extLst>
    </bk>
    <bk>
      <extLst>
        <ext uri="{3e2802c4-a4d2-4d8b-9148-e3be6c30e623}">
          <xlrd:rvb i="579"/>
        </ext>
      </extLst>
    </bk>
    <bk>
      <extLst>
        <ext uri="{3e2802c4-a4d2-4d8b-9148-e3be6c30e623}">
          <xlrd:rvb i="580"/>
        </ext>
      </extLst>
    </bk>
    <bk>
      <extLst>
        <ext uri="{3e2802c4-a4d2-4d8b-9148-e3be6c30e623}">
          <xlrd:rvb i="581"/>
        </ext>
      </extLst>
    </bk>
    <bk>
      <extLst>
        <ext uri="{3e2802c4-a4d2-4d8b-9148-e3be6c30e623}">
          <xlrd:rvb i="582"/>
        </ext>
      </extLst>
    </bk>
    <bk>
      <extLst>
        <ext uri="{3e2802c4-a4d2-4d8b-9148-e3be6c30e623}">
          <xlrd:rvb i="583"/>
        </ext>
      </extLst>
    </bk>
    <bk>
      <extLst>
        <ext uri="{3e2802c4-a4d2-4d8b-9148-e3be6c30e623}">
          <xlrd:rvb i="584"/>
        </ext>
      </extLst>
    </bk>
    <bk>
      <extLst>
        <ext uri="{3e2802c4-a4d2-4d8b-9148-e3be6c30e623}">
          <xlrd:rvb i="585"/>
        </ext>
      </extLst>
    </bk>
    <bk>
      <extLst>
        <ext uri="{3e2802c4-a4d2-4d8b-9148-e3be6c30e623}">
          <xlrd:rvb i="586"/>
        </ext>
      </extLst>
    </bk>
    <bk>
      <extLst>
        <ext uri="{3e2802c4-a4d2-4d8b-9148-e3be6c30e623}">
          <xlrd:rvb i="587"/>
        </ext>
      </extLst>
    </bk>
    <bk>
      <extLst>
        <ext uri="{3e2802c4-a4d2-4d8b-9148-e3be6c30e623}">
          <xlrd:rvb i="588"/>
        </ext>
      </extLst>
    </bk>
    <bk>
      <extLst>
        <ext uri="{3e2802c4-a4d2-4d8b-9148-e3be6c30e623}">
          <xlrd:rvb i="589"/>
        </ext>
      </extLst>
    </bk>
    <bk>
      <extLst>
        <ext uri="{3e2802c4-a4d2-4d8b-9148-e3be6c30e623}">
          <xlrd:rvb i="590"/>
        </ext>
      </extLst>
    </bk>
    <bk>
      <extLst>
        <ext uri="{3e2802c4-a4d2-4d8b-9148-e3be6c30e623}">
          <xlrd:rvb i="591"/>
        </ext>
      </extLst>
    </bk>
    <bk>
      <extLst>
        <ext uri="{3e2802c4-a4d2-4d8b-9148-e3be6c30e623}">
          <xlrd:rvb i="592"/>
        </ext>
      </extLst>
    </bk>
    <bk>
      <extLst>
        <ext uri="{3e2802c4-a4d2-4d8b-9148-e3be6c30e623}">
          <xlrd:rvb i="593"/>
        </ext>
      </extLst>
    </bk>
    <bk>
      <extLst>
        <ext uri="{3e2802c4-a4d2-4d8b-9148-e3be6c30e623}">
          <xlrd:rvb i="594"/>
        </ext>
      </extLst>
    </bk>
    <bk>
      <extLst>
        <ext uri="{3e2802c4-a4d2-4d8b-9148-e3be6c30e623}">
          <xlrd:rvb i="595"/>
        </ext>
      </extLst>
    </bk>
    <bk>
      <extLst>
        <ext uri="{3e2802c4-a4d2-4d8b-9148-e3be6c30e623}">
          <xlrd:rvb i="596"/>
        </ext>
      </extLst>
    </bk>
    <bk>
      <extLst>
        <ext uri="{3e2802c4-a4d2-4d8b-9148-e3be6c30e623}">
          <xlrd:rvb i="597"/>
        </ext>
      </extLst>
    </bk>
    <bk>
      <extLst>
        <ext uri="{3e2802c4-a4d2-4d8b-9148-e3be6c30e623}">
          <xlrd:rvb i="598"/>
        </ext>
      </extLst>
    </bk>
    <bk>
      <extLst>
        <ext uri="{3e2802c4-a4d2-4d8b-9148-e3be6c30e623}">
          <xlrd:rvb i="599"/>
        </ext>
      </extLst>
    </bk>
    <bk>
      <extLst>
        <ext uri="{3e2802c4-a4d2-4d8b-9148-e3be6c30e623}">
          <xlrd:rvb i="600"/>
        </ext>
      </extLst>
    </bk>
    <bk>
      <extLst>
        <ext uri="{3e2802c4-a4d2-4d8b-9148-e3be6c30e623}">
          <xlrd:rvb i="601"/>
        </ext>
      </extLst>
    </bk>
    <bk>
      <extLst>
        <ext uri="{3e2802c4-a4d2-4d8b-9148-e3be6c30e623}">
          <xlrd:rvb i="602"/>
        </ext>
      </extLst>
    </bk>
    <bk>
      <extLst>
        <ext uri="{3e2802c4-a4d2-4d8b-9148-e3be6c30e623}">
          <xlrd:rvb i="603"/>
        </ext>
      </extLst>
    </bk>
    <bk>
      <extLst>
        <ext uri="{3e2802c4-a4d2-4d8b-9148-e3be6c30e623}">
          <xlrd:rvb i="604"/>
        </ext>
      </extLst>
    </bk>
    <bk>
      <extLst>
        <ext uri="{3e2802c4-a4d2-4d8b-9148-e3be6c30e623}">
          <xlrd:rvb i="605"/>
        </ext>
      </extLst>
    </bk>
    <bk>
      <extLst>
        <ext uri="{3e2802c4-a4d2-4d8b-9148-e3be6c30e623}">
          <xlrd:rvb i="606"/>
        </ext>
      </extLst>
    </bk>
    <bk>
      <extLst>
        <ext uri="{3e2802c4-a4d2-4d8b-9148-e3be6c30e623}">
          <xlrd:rvb i="607"/>
        </ext>
      </extLst>
    </bk>
    <bk>
      <extLst>
        <ext uri="{3e2802c4-a4d2-4d8b-9148-e3be6c30e623}">
          <xlrd:rvb i="608"/>
        </ext>
      </extLst>
    </bk>
    <bk>
      <extLst>
        <ext uri="{3e2802c4-a4d2-4d8b-9148-e3be6c30e623}">
          <xlrd:rvb i="609"/>
        </ext>
      </extLst>
    </bk>
    <bk>
      <extLst>
        <ext uri="{3e2802c4-a4d2-4d8b-9148-e3be6c30e623}">
          <xlrd:rvb i="610"/>
        </ext>
      </extLst>
    </bk>
    <bk>
      <extLst>
        <ext uri="{3e2802c4-a4d2-4d8b-9148-e3be6c30e623}">
          <xlrd:rvb i="611"/>
        </ext>
      </extLst>
    </bk>
    <bk>
      <extLst>
        <ext uri="{3e2802c4-a4d2-4d8b-9148-e3be6c30e623}">
          <xlrd:rvb i="612"/>
        </ext>
      </extLst>
    </bk>
    <bk>
      <extLst>
        <ext uri="{3e2802c4-a4d2-4d8b-9148-e3be6c30e623}">
          <xlrd:rvb i="613"/>
        </ext>
      </extLst>
    </bk>
    <bk>
      <extLst>
        <ext uri="{3e2802c4-a4d2-4d8b-9148-e3be6c30e623}">
          <xlrd:rvb i="614"/>
        </ext>
      </extLst>
    </bk>
    <bk>
      <extLst>
        <ext uri="{3e2802c4-a4d2-4d8b-9148-e3be6c30e623}">
          <xlrd:rvb i="615"/>
        </ext>
      </extLst>
    </bk>
    <bk>
      <extLst>
        <ext uri="{3e2802c4-a4d2-4d8b-9148-e3be6c30e623}">
          <xlrd:rvb i="616"/>
        </ext>
      </extLst>
    </bk>
    <bk>
      <extLst>
        <ext uri="{3e2802c4-a4d2-4d8b-9148-e3be6c30e623}">
          <xlrd:rvb i="617"/>
        </ext>
      </extLst>
    </bk>
    <bk>
      <extLst>
        <ext uri="{3e2802c4-a4d2-4d8b-9148-e3be6c30e623}">
          <xlrd:rvb i="618"/>
        </ext>
      </extLst>
    </bk>
    <bk>
      <extLst>
        <ext uri="{3e2802c4-a4d2-4d8b-9148-e3be6c30e623}">
          <xlrd:rvb i="619"/>
        </ext>
      </extLst>
    </bk>
    <bk>
      <extLst>
        <ext uri="{3e2802c4-a4d2-4d8b-9148-e3be6c30e623}">
          <xlrd:rvb i="620"/>
        </ext>
      </extLst>
    </bk>
    <bk>
      <extLst>
        <ext uri="{3e2802c4-a4d2-4d8b-9148-e3be6c30e623}">
          <xlrd:rvb i="621"/>
        </ext>
      </extLst>
    </bk>
    <bk>
      <extLst>
        <ext uri="{3e2802c4-a4d2-4d8b-9148-e3be6c30e623}">
          <xlrd:rvb i="622"/>
        </ext>
      </extLst>
    </bk>
    <bk>
      <extLst>
        <ext uri="{3e2802c4-a4d2-4d8b-9148-e3be6c30e623}">
          <xlrd:rvb i="623"/>
        </ext>
      </extLst>
    </bk>
    <bk>
      <extLst>
        <ext uri="{3e2802c4-a4d2-4d8b-9148-e3be6c30e623}">
          <xlrd:rvb i="624"/>
        </ext>
      </extLst>
    </bk>
    <bk>
      <extLst>
        <ext uri="{3e2802c4-a4d2-4d8b-9148-e3be6c30e623}">
          <xlrd:rvb i="625"/>
        </ext>
      </extLst>
    </bk>
    <bk>
      <extLst>
        <ext uri="{3e2802c4-a4d2-4d8b-9148-e3be6c30e623}">
          <xlrd:rvb i="626"/>
        </ext>
      </extLst>
    </bk>
    <bk>
      <extLst>
        <ext uri="{3e2802c4-a4d2-4d8b-9148-e3be6c30e623}">
          <xlrd:rvb i="627"/>
        </ext>
      </extLst>
    </bk>
    <bk>
      <extLst>
        <ext uri="{3e2802c4-a4d2-4d8b-9148-e3be6c30e623}">
          <xlrd:rvb i="628"/>
        </ext>
      </extLst>
    </bk>
    <bk>
      <extLst>
        <ext uri="{3e2802c4-a4d2-4d8b-9148-e3be6c30e623}">
          <xlrd:rvb i="629"/>
        </ext>
      </extLst>
    </bk>
    <bk>
      <extLst>
        <ext uri="{3e2802c4-a4d2-4d8b-9148-e3be6c30e623}">
          <xlrd:rvb i="630"/>
        </ext>
      </extLst>
    </bk>
    <bk>
      <extLst>
        <ext uri="{3e2802c4-a4d2-4d8b-9148-e3be6c30e623}">
          <xlrd:rvb i="631"/>
        </ext>
      </extLst>
    </bk>
    <bk>
      <extLst>
        <ext uri="{3e2802c4-a4d2-4d8b-9148-e3be6c30e623}">
          <xlrd:rvb i="632"/>
        </ext>
      </extLst>
    </bk>
    <bk>
      <extLst>
        <ext uri="{3e2802c4-a4d2-4d8b-9148-e3be6c30e623}">
          <xlrd:rvb i="633"/>
        </ext>
      </extLst>
    </bk>
    <bk>
      <extLst>
        <ext uri="{3e2802c4-a4d2-4d8b-9148-e3be6c30e623}">
          <xlrd:rvb i="634"/>
        </ext>
      </extLst>
    </bk>
    <bk>
      <extLst>
        <ext uri="{3e2802c4-a4d2-4d8b-9148-e3be6c30e623}">
          <xlrd:rvb i="635"/>
        </ext>
      </extLst>
    </bk>
    <bk>
      <extLst>
        <ext uri="{3e2802c4-a4d2-4d8b-9148-e3be6c30e623}">
          <xlrd:rvb i="636"/>
        </ext>
      </extLst>
    </bk>
    <bk>
      <extLst>
        <ext uri="{3e2802c4-a4d2-4d8b-9148-e3be6c30e623}">
          <xlrd:rvb i="637"/>
        </ext>
      </extLst>
    </bk>
    <bk>
      <extLst>
        <ext uri="{3e2802c4-a4d2-4d8b-9148-e3be6c30e623}">
          <xlrd:rvb i="638"/>
        </ext>
      </extLst>
    </bk>
    <bk>
      <extLst>
        <ext uri="{3e2802c4-a4d2-4d8b-9148-e3be6c30e623}">
          <xlrd:rvb i="639"/>
        </ext>
      </extLst>
    </bk>
    <bk>
      <extLst>
        <ext uri="{3e2802c4-a4d2-4d8b-9148-e3be6c30e623}">
          <xlrd:rvb i="640"/>
        </ext>
      </extLst>
    </bk>
    <bk>
      <extLst>
        <ext uri="{3e2802c4-a4d2-4d8b-9148-e3be6c30e623}">
          <xlrd:rvb i="641"/>
        </ext>
      </extLst>
    </bk>
    <bk>
      <extLst>
        <ext uri="{3e2802c4-a4d2-4d8b-9148-e3be6c30e623}">
          <xlrd:rvb i="642"/>
        </ext>
      </extLst>
    </bk>
    <bk>
      <extLst>
        <ext uri="{3e2802c4-a4d2-4d8b-9148-e3be6c30e623}">
          <xlrd:rvb i="643"/>
        </ext>
      </extLst>
    </bk>
    <bk>
      <extLst>
        <ext uri="{3e2802c4-a4d2-4d8b-9148-e3be6c30e623}">
          <xlrd:rvb i="644"/>
        </ext>
      </extLst>
    </bk>
    <bk>
      <extLst>
        <ext uri="{3e2802c4-a4d2-4d8b-9148-e3be6c30e623}">
          <xlrd:rvb i="645"/>
        </ext>
      </extLst>
    </bk>
    <bk>
      <extLst>
        <ext uri="{3e2802c4-a4d2-4d8b-9148-e3be6c30e623}">
          <xlrd:rvb i="646"/>
        </ext>
      </extLst>
    </bk>
    <bk>
      <extLst>
        <ext uri="{3e2802c4-a4d2-4d8b-9148-e3be6c30e623}">
          <xlrd:rvb i="647"/>
        </ext>
      </extLst>
    </bk>
    <bk>
      <extLst>
        <ext uri="{3e2802c4-a4d2-4d8b-9148-e3be6c30e623}">
          <xlrd:rvb i="648"/>
        </ext>
      </extLst>
    </bk>
    <bk>
      <extLst>
        <ext uri="{3e2802c4-a4d2-4d8b-9148-e3be6c30e623}">
          <xlrd:rvb i="649"/>
        </ext>
      </extLst>
    </bk>
    <bk>
      <extLst>
        <ext uri="{3e2802c4-a4d2-4d8b-9148-e3be6c30e623}">
          <xlrd:rvb i="650"/>
        </ext>
      </extLst>
    </bk>
    <bk>
      <extLst>
        <ext uri="{3e2802c4-a4d2-4d8b-9148-e3be6c30e623}">
          <xlrd:rvb i="651"/>
        </ext>
      </extLst>
    </bk>
    <bk>
      <extLst>
        <ext uri="{3e2802c4-a4d2-4d8b-9148-e3be6c30e623}">
          <xlrd:rvb i="652"/>
        </ext>
      </extLst>
    </bk>
    <bk>
      <extLst>
        <ext uri="{3e2802c4-a4d2-4d8b-9148-e3be6c30e623}">
          <xlrd:rvb i="653"/>
        </ext>
      </extLst>
    </bk>
    <bk>
      <extLst>
        <ext uri="{3e2802c4-a4d2-4d8b-9148-e3be6c30e623}">
          <xlrd:rvb i="654"/>
        </ext>
      </extLst>
    </bk>
    <bk>
      <extLst>
        <ext uri="{3e2802c4-a4d2-4d8b-9148-e3be6c30e623}">
          <xlrd:rvb i="655"/>
        </ext>
      </extLst>
    </bk>
    <bk>
      <extLst>
        <ext uri="{3e2802c4-a4d2-4d8b-9148-e3be6c30e623}">
          <xlrd:rvb i="656"/>
        </ext>
      </extLst>
    </bk>
    <bk>
      <extLst>
        <ext uri="{3e2802c4-a4d2-4d8b-9148-e3be6c30e623}">
          <xlrd:rvb i="657"/>
        </ext>
      </extLst>
    </bk>
    <bk>
      <extLst>
        <ext uri="{3e2802c4-a4d2-4d8b-9148-e3be6c30e623}">
          <xlrd:rvb i="658"/>
        </ext>
      </extLst>
    </bk>
    <bk>
      <extLst>
        <ext uri="{3e2802c4-a4d2-4d8b-9148-e3be6c30e623}">
          <xlrd:rvb i="659"/>
        </ext>
      </extLst>
    </bk>
    <bk>
      <extLst>
        <ext uri="{3e2802c4-a4d2-4d8b-9148-e3be6c30e623}">
          <xlrd:rvb i="660"/>
        </ext>
      </extLst>
    </bk>
    <bk>
      <extLst>
        <ext uri="{3e2802c4-a4d2-4d8b-9148-e3be6c30e623}">
          <xlrd:rvb i="661"/>
        </ext>
      </extLst>
    </bk>
    <bk>
      <extLst>
        <ext uri="{3e2802c4-a4d2-4d8b-9148-e3be6c30e623}">
          <xlrd:rvb i="662"/>
        </ext>
      </extLst>
    </bk>
    <bk>
      <extLst>
        <ext uri="{3e2802c4-a4d2-4d8b-9148-e3be6c30e623}">
          <xlrd:rvb i="663"/>
        </ext>
      </extLst>
    </bk>
    <bk>
      <extLst>
        <ext uri="{3e2802c4-a4d2-4d8b-9148-e3be6c30e623}">
          <xlrd:rvb i="664"/>
        </ext>
      </extLst>
    </bk>
    <bk>
      <extLst>
        <ext uri="{3e2802c4-a4d2-4d8b-9148-e3be6c30e623}">
          <xlrd:rvb i="665"/>
        </ext>
      </extLst>
    </bk>
    <bk>
      <extLst>
        <ext uri="{3e2802c4-a4d2-4d8b-9148-e3be6c30e623}">
          <xlrd:rvb i="666"/>
        </ext>
      </extLst>
    </bk>
    <bk>
      <extLst>
        <ext uri="{3e2802c4-a4d2-4d8b-9148-e3be6c30e623}">
          <xlrd:rvb i="667"/>
        </ext>
      </extLst>
    </bk>
    <bk>
      <extLst>
        <ext uri="{3e2802c4-a4d2-4d8b-9148-e3be6c30e623}">
          <xlrd:rvb i="668"/>
        </ext>
      </extLst>
    </bk>
    <bk>
      <extLst>
        <ext uri="{3e2802c4-a4d2-4d8b-9148-e3be6c30e623}">
          <xlrd:rvb i="669"/>
        </ext>
      </extLst>
    </bk>
    <bk>
      <extLst>
        <ext uri="{3e2802c4-a4d2-4d8b-9148-e3be6c30e623}">
          <xlrd:rvb i="670"/>
        </ext>
      </extLst>
    </bk>
    <bk>
      <extLst>
        <ext uri="{3e2802c4-a4d2-4d8b-9148-e3be6c30e623}">
          <xlrd:rvb i="671"/>
        </ext>
      </extLst>
    </bk>
    <bk>
      <extLst>
        <ext uri="{3e2802c4-a4d2-4d8b-9148-e3be6c30e623}">
          <xlrd:rvb i="672"/>
        </ext>
      </extLst>
    </bk>
    <bk>
      <extLst>
        <ext uri="{3e2802c4-a4d2-4d8b-9148-e3be6c30e623}">
          <xlrd:rvb i="673"/>
        </ext>
      </extLst>
    </bk>
    <bk>
      <extLst>
        <ext uri="{3e2802c4-a4d2-4d8b-9148-e3be6c30e623}">
          <xlrd:rvb i="674"/>
        </ext>
      </extLst>
    </bk>
    <bk>
      <extLst>
        <ext uri="{3e2802c4-a4d2-4d8b-9148-e3be6c30e623}">
          <xlrd:rvb i="675"/>
        </ext>
      </extLst>
    </bk>
    <bk>
      <extLst>
        <ext uri="{3e2802c4-a4d2-4d8b-9148-e3be6c30e623}">
          <xlrd:rvb i="676"/>
        </ext>
      </extLst>
    </bk>
    <bk>
      <extLst>
        <ext uri="{3e2802c4-a4d2-4d8b-9148-e3be6c30e623}">
          <xlrd:rvb i="677"/>
        </ext>
      </extLst>
    </bk>
    <bk>
      <extLst>
        <ext uri="{3e2802c4-a4d2-4d8b-9148-e3be6c30e623}">
          <xlrd:rvb i="678"/>
        </ext>
      </extLst>
    </bk>
    <bk>
      <extLst>
        <ext uri="{3e2802c4-a4d2-4d8b-9148-e3be6c30e623}">
          <xlrd:rvb i="679"/>
        </ext>
      </extLst>
    </bk>
    <bk>
      <extLst>
        <ext uri="{3e2802c4-a4d2-4d8b-9148-e3be6c30e623}">
          <xlrd:rvb i="680"/>
        </ext>
      </extLst>
    </bk>
    <bk>
      <extLst>
        <ext uri="{3e2802c4-a4d2-4d8b-9148-e3be6c30e623}">
          <xlrd:rvb i="681"/>
        </ext>
      </extLst>
    </bk>
    <bk>
      <extLst>
        <ext uri="{3e2802c4-a4d2-4d8b-9148-e3be6c30e623}">
          <xlrd:rvb i="682"/>
        </ext>
      </extLst>
    </bk>
    <bk>
      <extLst>
        <ext uri="{3e2802c4-a4d2-4d8b-9148-e3be6c30e623}">
          <xlrd:rvb i="683"/>
        </ext>
      </extLst>
    </bk>
    <bk>
      <extLst>
        <ext uri="{3e2802c4-a4d2-4d8b-9148-e3be6c30e623}">
          <xlrd:rvb i="684"/>
        </ext>
      </extLst>
    </bk>
    <bk>
      <extLst>
        <ext uri="{3e2802c4-a4d2-4d8b-9148-e3be6c30e623}">
          <xlrd:rvb i="685"/>
        </ext>
      </extLst>
    </bk>
    <bk>
      <extLst>
        <ext uri="{3e2802c4-a4d2-4d8b-9148-e3be6c30e623}">
          <xlrd:rvb i="686"/>
        </ext>
      </extLst>
    </bk>
    <bk>
      <extLst>
        <ext uri="{3e2802c4-a4d2-4d8b-9148-e3be6c30e623}">
          <xlrd:rvb i="687"/>
        </ext>
      </extLst>
    </bk>
    <bk>
      <extLst>
        <ext uri="{3e2802c4-a4d2-4d8b-9148-e3be6c30e623}">
          <xlrd:rvb i="688"/>
        </ext>
      </extLst>
    </bk>
    <bk>
      <extLst>
        <ext uri="{3e2802c4-a4d2-4d8b-9148-e3be6c30e623}">
          <xlrd:rvb i="689"/>
        </ext>
      </extLst>
    </bk>
    <bk>
      <extLst>
        <ext uri="{3e2802c4-a4d2-4d8b-9148-e3be6c30e623}">
          <xlrd:rvb i="690"/>
        </ext>
      </extLst>
    </bk>
    <bk>
      <extLst>
        <ext uri="{3e2802c4-a4d2-4d8b-9148-e3be6c30e623}">
          <xlrd:rvb i="691"/>
        </ext>
      </extLst>
    </bk>
    <bk>
      <extLst>
        <ext uri="{3e2802c4-a4d2-4d8b-9148-e3be6c30e623}">
          <xlrd:rvb i="692"/>
        </ext>
      </extLst>
    </bk>
    <bk>
      <extLst>
        <ext uri="{3e2802c4-a4d2-4d8b-9148-e3be6c30e623}">
          <xlrd:rvb i="693"/>
        </ext>
      </extLst>
    </bk>
    <bk>
      <extLst>
        <ext uri="{3e2802c4-a4d2-4d8b-9148-e3be6c30e623}">
          <xlrd:rvb i="694"/>
        </ext>
      </extLst>
    </bk>
    <bk>
      <extLst>
        <ext uri="{3e2802c4-a4d2-4d8b-9148-e3be6c30e623}">
          <xlrd:rvb i="695"/>
        </ext>
      </extLst>
    </bk>
    <bk>
      <extLst>
        <ext uri="{3e2802c4-a4d2-4d8b-9148-e3be6c30e623}">
          <xlrd:rvb i="696"/>
        </ext>
      </extLst>
    </bk>
    <bk>
      <extLst>
        <ext uri="{3e2802c4-a4d2-4d8b-9148-e3be6c30e623}">
          <xlrd:rvb i="697"/>
        </ext>
      </extLst>
    </bk>
    <bk>
      <extLst>
        <ext uri="{3e2802c4-a4d2-4d8b-9148-e3be6c30e623}">
          <xlrd:rvb i="698"/>
        </ext>
      </extLst>
    </bk>
    <bk>
      <extLst>
        <ext uri="{3e2802c4-a4d2-4d8b-9148-e3be6c30e623}">
          <xlrd:rvb i="699"/>
        </ext>
      </extLst>
    </bk>
    <bk>
      <extLst>
        <ext uri="{3e2802c4-a4d2-4d8b-9148-e3be6c30e623}">
          <xlrd:rvb i="700"/>
        </ext>
      </extLst>
    </bk>
    <bk>
      <extLst>
        <ext uri="{3e2802c4-a4d2-4d8b-9148-e3be6c30e623}">
          <xlrd:rvb i="701"/>
        </ext>
      </extLst>
    </bk>
    <bk>
      <extLst>
        <ext uri="{3e2802c4-a4d2-4d8b-9148-e3be6c30e623}">
          <xlrd:rvb i="702"/>
        </ext>
      </extLst>
    </bk>
    <bk>
      <extLst>
        <ext uri="{3e2802c4-a4d2-4d8b-9148-e3be6c30e623}">
          <xlrd:rvb i="703"/>
        </ext>
      </extLst>
    </bk>
    <bk>
      <extLst>
        <ext uri="{3e2802c4-a4d2-4d8b-9148-e3be6c30e623}">
          <xlrd:rvb i="704"/>
        </ext>
      </extLst>
    </bk>
    <bk>
      <extLst>
        <ext uri="{3e2802c4-a4d2-4d8b-9148-e3be6c30e623}">
          <xlrd:rvb i="705"/>
        </ext>
      </extLst>
    </bk>
    <bk>
      <extLst>
        <ext uri="{3e2802c4-a4d2-4d8b-9148-e3be6c30e623}">
          <xlrd:rvb i="706"/>
        </ext>
      </extLst>
    </bk>
    <bk>
      <extLst>
        <ext uri="{3e2802c4-a4d2-4d8b-9148-e3be6c30e623}">
          <xlrd:rvb i="707"/>
        </ext>
      </extLst>
    </bk>
    <bk>
      <extLst>
        <ext uri="{3e2802c4-a4d2-4d8b-9148-e3be6c30e623}">
          <xlrd:rvb i="708"/>
        </ext>
      </extLst>
    </bk>
    <bk>
      <extLst>
        <ext uri="{3e2802c4-a4d2-4d8b-9148-e3be6c30e623}">
          <xlrd:rvb i="709"/>
        </ext>
      </extLst>
    </bk>
    <bk>
      <extLst>
        <ext uri="{3e2802c4-a4d2-4d8b-9148-e3be6c30e623}">
          <xlrd:rvb i="710"/>
        </ext>
      </extLst>
    </bk>
    <bk>
      <extLst>
        <ext uri="{3e2802c4-a4d2-4d8b-9148-e3be6c30e623}">
          <xlrd:rvb i="711"/>
        </ext>
      </extLst>
    </bk>
    <bk>
      <extLst>
        <ext uri="{3e2802c4-a4d2-4d8b-9148-e3be6c30e623}">
          <xlrd:rvb i="712"/>
        </ext>
      </extLst>
    </bk>
    <bk>
      <extLst>
        <ext uri="{3e2802c4-a4d2-4d8b-9148-e3be6c30e623}">
          <xlrd:rvb i="713"/>
        </ext>
      </extLst>
    </bk>
    <bk>
      <extLst>
        <ext uri="{3e2802c4-a4d2-4d8b-9148-e3be6c30e623}">
          <xlrd:rvb i="714"/>
        </ext>
      </extLst>
    </bk>
    <bk>
      <extLst>
        <ext uri="{3e2802c4-a4d2-4d8b-9148-e3be6c30e623}">
          <xlrd:rvb i="715"/>
        </ext>
      </extLst>
    </bk>
    <bk>
      <extLst>
        <ext uri="{3e2802c4-a4d2-4d8b-9148-e3be6c30e623}">
          <xlrd:rvb i="716"/>
        </ext>
      </extLst>
    </bk>
    <bk>
      <extLst>
        <ext uri="{3e2802c4-a4d2-4d8b-9148-e3be6c30e623}">
          <xlrd:rvb i="717"/>
        </ext>
      </extLst>
    </bk>
    <bk>
      <extLst>
        <ext uri="{3e2802c4-a4d2-4d8b-9148-e3be6c30e623}">
          <xlrd:rvb i="718"/>
        </ext>
      </extLst>
    </bk>
    <bk>
      <extLst>
        <ext uri="{3e2802c4-a4d2-4d8b-9148-e3be6c30e623}">
          <xlrd:rvb i="719"/>
        </ext>
      </extLst>
    </bk>
    <bk>
      <extLst>
        <ext uri="{3e2802c4-a4d2-4d8b-9148-e3be6c30e623}">
          <xlrd:rvb i="720"/>
        </ext>
      </extLst>
    </bk>
    <bk>
      <extLst>
        <ext uri="{3e2802c4-a4d2-4d8b-9148-e3be6c30e623}">
          <xlrd:rvb i="721"/>
        </ext>
      </extLst>
    </bk>
    <bk>
      <extLst>
        <ext uri="{3e2802c4-a4d2-4d8b-9148-e3be6c30e623}">
          <xlrd:rvb i="722"/>
        </ext>
      </extLst>
    </bk>
    <bk>
      <extLst>
        <ext uri="{3e2802c4-a4d2-4d8b-9148-e3be6c30e623}">
          <xlrd:rvb i="723"/>
        </ext>
      </extLst>
    </bk>
    <bk>
      <extLst>
        <ext uri="{3e2802c4-a4d2-4d8b-9148-e3be6c30e623}">
          <xlrd:rvb i="724"/>
        </ext>
      </extLst>
    </bk>
    <bk>
      <extLst>
        <ext uri="{3e2802c4-a4d2-4d8b-9148-e3be6c30e623}">
          <xlrd:rvb i="725"/>
        </ext>
      </extLst>
    </bk>
    <bk>
      <extLst>
        <ext uri="{3e2802c4-a4d2-4d8b-9148-e3be6c30e623}">
          <xlrd:rvb i="726"/>
        </ext>
      </extLst>
    </bk>
    <bk>
      <extLst>
        <ext uri="{3e2802c4-a4d2-4d8b-9148-e3be6c30e623}">
          <xlrd:rvb i="727"/>
        </ext>
      </extLst>
    </bk>
    <bk>
      <extLst>
        <ext uri="{3e2802c4-a4d2-4d8b-9148-e3be6c30e623}">
          <xlrd:rvb i="728"/>
        </ext>
      </extLst>
    </bk>
    <bk>
      <extLst>
        <ext uri="{3e2802c4-a4d2-4d8b-9148-e3be6c30e623}">
          <xlrd:rvb i="729"/>
        </ext>
      </extLst>
    </bk>
    <bk>
      <extLst>
        <ext uri="{3e2802c4-a4d2-4d8b-9148-e3be6c30e623}">
          <xlrd:rvb i="730"/>
        </ext>
      </extLst>
    </bk>
    <bk>
      <extLst>
        <ext uri="{3e2802c4-a4d2-4d8b-9148-e3be6c30e623}">
          <xlrd:rvb i="731"/>
        </ext>
      </extLst>
    </bk>
    <bk>
      <extLst>
        <ext uri="{3e2802c4-a4d2-4d8b-9148-e3be6c30e623}">
          <xlrd:rvb i="732"/>
        </ext>
      </extLst>
    </bk>
    <bk>
      <extLst>
        <ext uri="{3e2802c4-a4d2-4d8b-9148-e3be6c30e623}">
          <xlrd:rvb i="733"/>
        </ext>
      </extLst>
    </bk>
    <bk>
      <extLst>
        <ext uri="{3e2802c4-a4d2-4d8b-9148-e3be6c30e623}">
          <xlrd:rvb i="734"/>
        </ext>
      </extLst>
    </bk>
    <bk>
      <extLst>
        <ext uri="{3e2802c4-a4d2-4d8b-9148-e3be6c30e623}">
          <xlrd:rvb i="735"/>
        </ext>
      </extLst>
    </bk>
    <bk>
      <extLst>
        <ext uri="{3e2802c4-a4d2-4d8b-9148-e3be6c30e623}">
          <xlrd:rvb i="736"/>
        </ext>
      </extLst>
    </bk>
    <bk>
      <extLst>
        <ext uri="{3e2802c4-a4d2-4d8b-9148-e3be6c30e623}">
          <xlrd:rvb i="737"/>
        </ext>
      </extLst>
    </bk>
    <bk>
      <extLst>
        <ext uri="{3e2802c4-a4d2-4d8b-9148-e3be6c30e623}">
          <xlrd:rvb i="738"/>
        </ext>
      </extLst>
    </bk>
    <bk>
      <extLst>
        <ext uri="{3e2802c4-a4d2-4d8b-9148-e3be6c30e623}">
          <xlrd:rvb i="741"/>
        </ext>
      </extLst>
    </bk>
    <bk>
      <extLst>
        <ext uri="{3e2802c4-a4d2-4d8b-9148-e3be6c30e623}">
          <xlrd:rvb i="742"/>
        </ext>
      </extLst>
    </bk>
    <bk>
      <extLst>
        <ext uri="{3e2802c4-a4d2-4d8b-9148-e3be6c30e623}">
          <xlrd:rvb i="743"/>
        </ext>
      </extLst>
    </bk>
    <bk>
      <extLst>
        <ext uri="{3e2802c4-a4d2-4d8b-9148-e3be6c30e623}">
          <xlrd:rvb i="744"/>
        </ext>
      </extLst>
    </bk>
    <bk>
      <extLst>
        <ext uri="{3e2802c4-a4d2-4d8b-9148-e3be6c30e623}">
          <xlrd:rvb i="745"/>
        </ext>
      </extLst>
    </bk>
    <bk>
      <extLst>
        <ext uri="{3e2802c4-a4d2-4d8b-9148-e3be6c30e623}">
          <xlrd:rvb i="746"/>
        </ext>
      </extLst>
    </bk>
    <bk>
      <extLst>
        <ext uri="{3e2802c4-a4d2-4d8b-9148-e3be6c30e623}">
          <xlrd:rvb i="747"/>
        </ext>
      </extLst>
    </bk>
    <bk>
      <extLst>
        <ext uri="{3e2802c4-a4d2-4d8b-9148-e3be6c30e623}">
          <xlrd:rvb i="748"/>
        </ext>
      </extLst>
    </bk>
    <bk>
      <extLst>
        <ext uri="{3e2802c4-a4d2-4d8b-9148-e3be6c30e623}">
          <xlrd:rvb i="749"/>
        </ext>
      </extLst>
    </bk>
    <bk>
      <extLst>
        <ext uri="{3e2802c4-a4d2-4d8b-9148-e3be6c30e623}">
          <xlrd:rvb i="750"/>
        </ext>
      </extLst>
    </bk>
    <bk>
      <extLst>
        <ext uri="{3e2802c4-a4d2-4d8b-9148-e3be6c30e623}">
          <xlrd:rvb i="751"/>
        </ext>
      </extLst>
    </bk>
    <bk>
      <extLst>
        <ext uri="{3e2802c4-a4d2-4d8b-9148-e3be6c30e623}">
          <xlrd:rvb i="752"/>
        </ext>
      </extLst>
    </bk>
    <bk>
      <extLst>
        <ext uri="{3e2802c4-a4d2-4d8b-9148-e3be6c30e623}">
          <xlrd:rvb i="753"/>
        </ext>
      </extLst>
    </bk>
    <bk>
      <extLst>
        <ext uri="{3e2802c4-a4d2-4d8b-9148-e3be6c30e623}">
          <xlrd:rvb i="754"/>
        </ext>
      </extLst>
    </bk>
    <bk>
      <extLst>
        <ext uri="{3e2802c4-a4d2-4d8b-9148-e3be6c30e623}">
          <xlrd:rvb i="755"/>
        </ext>
      </extLst>
    </bk>
    <bk>
      <extLst>
        <ext uri="{3e2802c4-a4d2-4d8b-9148-e3be6c30e623}">
          <xlrd:rvb i="756"/>
        </ext>
      </extLst>
    </bk>
    <bk>
      <extLst>
        <ext uri="{3e2802c4-a4d2-4d8b-9148-e3be6c30e623}">
          <xlrd:rvb i="757"/>
        </ext>
      </extLst>
    </bk>
    <bk>
      <extLst>
        <ext uri="{3e2802c4-a4d2-4d8b-9148-e3be6c30e623}">
          <xlrd:rvb i="758"/>
        </ext>
      </extLst>
    </bk>
    <bk>
      <extLst>
        <ext uri="{3e2802c4-a4d2-4d8b-9148-e3be6c30e623}">
          <xlrd:rvb i="759"/>
        </ext>
      </extLst>
    </bk>
    <bk>
      <extLst>
        <ext uri="{3e2802c4-a4d2-4d8b-9148-e3be6c30e623}">
          <xlrd:rvb i="760"/>
        </ext>
      </extLst>
    </bk>
    <bk>
      <extLst>
        <ext uri="{3e2802c4-a4d2-4d8b-9148-e3be6c30e623}">
          <xlrd:rvb i="761"/>
        </ext>
      </extLst>
    </bk>
    <bk>
      <extLst>
        <ext uri="{3e2802c4-a4d2-4d8b-9148-e3be6c30e623}">
          <xlrd:rvb i="762"/>
        </ext>
      </extLst>
    </bk>
    <bk>
      <extLst>
        <ext uri="{3e2802c4-a4d2-4d8b-9148-e3be6c30e623}">
          <xlrd:rvb i="763"/>
        </ext>
      </extLst>
    </bk>
    <bk>
      <extLst>
        <ext uri="{3e2802c4-a4d2-4d8b-9148-e3be6c30e623}">
          <xlrd:rvb i="764"/>
        </ext>
      </extLst>
    </bk>
    <bk>
      <extLst>
        <ext uri="{3e2802c4-a4d2-4d8b-9148-e3be6c30e623}">
          <xlrd:rvb i="765"/>
        </ext>
      </extLst>
    </bk>
    <bk>
      <extLst>
        <ext uri="{3e2802c4-a4d2-4d8b-9148-e3be6c30e623}">
          <xlrd:rvb i="766"/>
        </ext>
      </extLst>
    </bk>
    <bk>
      <extLst>
        <ext uri="{3e2802c4-a4d2-4d8b-9148-e3be6c30e623}">
          <xlrd:rvb i="767"/>
        </ext>
      </extLst>
    </bk>
    <bk>
      <extLst>
        <ext uri="{3e2802c4-a4d2-4d8b-9148-e3be6c30e623}">
          <xlrd:rvb i="768"/>
        </ext>
      </extLst>
    </bk>
    <bk>
      <extLst>
        <ext uri="{3e2802c4-a4d2-4d8b-9148-e3be6c30e623}">
          <xlrd:rvb i="769"/>
        </ext>
      </extLst>
    </bk>
    <bk>
      <extLst>
        <ext uri="{3e2802c4-a4d2-4d8b-9148-e3be6c30e623}">
          <xlrd:rvb i="770"/>
        </ext>
      </extLst>
    </bk>
    <bk>
      <extLst>
        <ext uri="{3e2802c4-a4d2-4d8b-9148-e3be6c30e623}">
          <xlrd:rvb i="771"/>
        </ext>
      </extLst>
    </bk>
    <bk>
      <extLst>
        <ext uri="{3e2802c4-a4d2-4d8b-9148-e3be6c30e623}">
          <xlrd:rvb i="772"/>
        </ext>
      </extLst>
    </bk>
    <bk>
      <extLst>
        <ext uri="{3e2802c4-a4d2-4d8b-9148-e3be6c30e623}">
          <xlrd:rvb i="773"/>
        </ext>
      </extLst>
    </bk>
    <bk>
      <extLst>
        <ext uri="{3e2802c4-a4d2-4d8b-9148-e3be6c30e623}">
          <xlrd:rvb i="774"/>
        </ext>
      </extLst>
    </bk>
    <bk>
      <extLst>
        <ext uri="{3e2802c4-a4d2-4d8b-9148-e3be6c30e623}">
          <xlrd:rvb i="775"/>
        </ext>
      </extLst>
    </bk>
    <bk>
      <extLst>
        <ext uri="{3e2802c4-a4d2-4d8b-9148-e3be6c30e623}">
          <xlrd:rvb i="776"/>
        </ext>
      </extLst>
    </bk>
    <bk>
      <extLst>
        <ext uri="{3e2802c4-a4d2-4d8b-9148-e3be6c30e623}">
          <xlrd:rvb i="777"/>
        </ext>
      </extLst>
    </bk>
    <bk>
      <extLst>
        <ext uri="{3e2802c4-a4d2-4d8b-9148-e3be6c30e623}">
          <xlrd:rvb i="778"/>
        </ext>
      </extLst>
    </bk>
    <bk>
      <extLst>
        <ext uri="{3e2802c4-a4d2-4d8b-9148-e3be6c30e623}">
          <xlrd:rvb i="779"/>
        </ext>
      </extLst>
    </bk>
    <bk>
      <extLst>
        <ext uri="{3e2802c4-a4d2-4d8b-9148-e3be6c30e623}">
          <xlrd:rvb i="780"/>
        </ext>
      </extLst>
    </bk>
    <bk>
      <extLst>
        <ext uri="{3e2802c4-a4d2-4d8b-9148-e3be6c30e623}">
          <xlrd:rvb i="781"/>
        </ext>
      </extLst>
    </bk>
    <bk>
      <extLst>
        <ext uri="{3e2802c4-a4d2-4d8b-9148-e3be6c30e623}">
          <xlrd:rvb i="782"/>
        </ext>
      </extLst>
    </bk>
    <bk>
      <extLst>
        <ext uri="{3e2802c4-a4d2-4d8b-9148-e3be6c30e623}">
          <xlrd:rvb i="783"/>
        </ext>
      </extLst>
    </bk>
    <bk>
      <extLst>
        <ext uri="{3e2802c4-a4d2-4d8b-9148-e3be6c30e623}">
          <xlrd:rvb i="784"/>
        </ext>
      </extLst>
    </bk>
    <bk>
      <extLst>
        <ext uri="{3e2802c4-a4d2-4d8b-9148-e3be6c30e623}">
          <xlrd:rvb i="785"/>
        </ext>
      </extLst>
    </bk>
    <bk>
      <extLst>
        <ext uri="{3e2802c4-a4d2-4d8b-9148-e3be6c30e623}">
          <xlrd:rvb i="786"/>
        </ext>
      </extLst>
    </bk>
    <bk>
      <extLst>
        <ext uri="{3e2802c4-a4d2-4d8b-9148-e3be6c30e623}">
          <xlrd:rvb i="787"/>
        </ext>
      </extLst>
    </bk>
    <bk>
      <extLst>
        <ext uri="{3e2802c4-a4d2-4d8b-9148-e3be6c30e623}">
          <xlrd:rvb i="788"/>
        </ext>
      </extLst>
    </bk>
    <bk>
      <extLst>
        <ext uri="{3e2802c4-a4d2-4d8b-9148-e3be6c30e623}">
          <xlrd:rvb i="789"/>
        </ext>
      </extLst>
    </bk>
    <bk>
      <extLst>
        <ext uri="{3e2802c4-a4d2-4d8b-9148-e3be6c30e623}">
          <xlrd:rvb i="790"/>
        </ext>
      </extLst>
    </bk>
    <bk>
      <extLst>
        <ext uri="{3e2802c4-a4d2-4d8b-9148-e3be6c30e623}">
          <xlrd:rvb i="791"/>
        </ext>
      </extLst>
    </bk>
    <bk>
      <extLst>
        <ext uri="{3e2802c4-a4d2-4d8b-9148-e3be6c30e623}">
          <xlrd:rvb i="792"/>
        </ext>
      </extLst>
    </bk>
    <bk>
      <extLst>
        <ext uri="{3e2802c4-a4d2-4d8b-9148-e3be6c30e623}">
          <xlrd:rvb i="793"/>
        </ext>
      </extLst>
    </bk>
    <bk>
      <extLst>
        <ext uri="{3e2802c4-a4d2-4d8b-9148-e3be6c30e623}">
          <xlrd:rvb i="794"/>
        </ext>
      </extLst>
    </bk>
    <bk>
      <extLst>
        <ext uri="{3e2802c4-a4d2-4d8b-9148-e3be6c30e623}">
          <xlrd:rvb i="795"/>
        </ext>
      </extLst>
    </bk>
    <bk>
      <extLst>
        <ext uri="{3e2802c4-a4d2-4d8b-9148-e3be6c30e623}">
          <xlrd:rvb i="796"/>
        </ext>
      </extLst>
    </bk>
    <bk>
      <extLst>
        <ext uri="{3e2802c4-a4d2-4d8b-9148-e3be6c30e623}">
          <xlrd:rvb i="797"/>
        </ext>
      </extLst>
    </bk>
    <bk>
      <extLst>
        <ext uri="{3e2802c4-a4d2-4d8b-9148-e3be6c30e623}">
          <xlrd:rvb i="798"/>
        </ext>
      </extLst>
    </bk>
    <bk>
      <extLst>
        <ext uri="{3e2802c4-a4d2-4d8b-9148-e3be6c30e623}">
          <xlrd:rvb i="799"/>
        </ext>
      </extLst>
    </bk>
    <bk>
      <extLst>
        <ext uri="{3e2802c4-a4d2-4d8b-9148-e3be6c30e623}">
          <xlrd:rvb i="800"/>
        </ext>
      </extLst>
    </bk>
    <bk>
      <extLst>
        <ext uri="{3e2802c4-a4d2-4d8b-9148-e3be6c30e623}">
          <xlrd:rvb i="801"/>
        </ext>
      </extLst>
    </bk>
    <bk>
      <extLst>
        <ext uri="{3e2802c4-a4d2-4d8b-9148-e3be6c30e623}">
          <xlrd:rvb i="802"/>
        </ext>
      </extLst>
    </bk>
    <bk>
      <extLst>
        <ext uri="{3e2802c4-a4d2-4d8b-9148-e3be6c30e623}">
          <xlrd:rvb i="803"/>
        </ext>
      </extLst>
    </bk>
    <bk>
      <extLst>
        <ext uri="{3e2802c4-a4d2-4d8b-9148-e3be6c30e623}">
          <xlrd:rvb i="804"/>
        </ext>
      </extLst>
    </bk>
    <bk>
      <extLst>
        <ext uri="{3e2802c4-a4d2-4d8b-9148-e3be6c30e623}">
          <xlrd:rvb i="805"/>
        </ext>
      </extLst>
    </bk>
    <bk>
      <extLst>
        <ext uri="{3e2802c4-a4d2-4d8b-9148-e3be6c30e623}">
          <xlrd:rvb i="806"/>
        </ext>
      </extLst>
    </bk>
    <bk>
      <extLst>
        <ext uri="{3e2802c4-a4d2-4d8b-9148-e3be6c30e623}">
          <xlrd:rvb i="807"/>
        </ext>
      </extLst>
    </bk>
    <bk>
      <extLst>
        <ext uri="{3e2802c4-a4d2-4d8b-9148-e3be6c30e623}">
          <xlrd:rvb i="808"/>
        </ext>
      </extLst>
    </bk>
    <bk>
      <extLst>
        <ext uri="{3e2802c4-a4d2-4d8b-9148-e3be6c30e623}">
          <xlrd:rvb i="809"/>
        </ext>
      </extLst>
    </bk>
    <bk>
      <extLst>
        <ext uri="{3e2802c4-a4d2-4d8b-9148-e3be6c30e623}">
          <xlrd:rvb i="810"/>
        </ext>
      </extLst>
    </bk>
    <bk>
      <extLst>
        <ext uri="{3e2802c4-a4d2-4d8b-9148-e3be6c30e623}">
          <xlrd:rvb i="811"/>
        </ext>
      </extLst>
    </bk>
    <bk>
      <extLst>
        <ext uri="{3e2802c4-a4d2-4d8b-9148-e3be6c30e623}">
          <xlrd:rvb i="812"/>
        </ext>
      </extLst>
    </bk>
    <bk>
      <extLst>
        <ext uri="{3e2802c4-a4d2-4d8b-9148-e3be6c30e623}">
          <xlrd:rvb i="813"/>
        </ext>
      </extLst>
    </bk>
    <bk>
      <extLst>
        <ext uri="{3e2802c4-a4d2-4d8b-9148-e3be6c30e623}">
          <xlrd:rvb i="814"/>
        </ext>
      </extLst>
    </bk>
    <bk>
      <extLst>
        <ext uri="{3e2802c4-a4d2-4d8b-9148-e3be6c30e623}">
          <xlrd:rvb i="815"/>
        </ext>
      </extLst>
    </bk>
    <bk>
      <extLst>
        <ext uri="{3e2802c4-a4d2-4d8b-9148-e3be6c30e623}">
          <xlrd:rvb i="816"/>
        </ext>
      </extLst>
    </bk>
    <bk>
      <extLst>
        <ext uri="{3e2802c4-a4d2-4d8b-9148-e3be6c30e623}">
          <xlrd:rvb i="817"/>
        </ext>
      </extLst>
    </bk>
    <bk>
      <extLst>
        <ext uri="{3e2802c4-a4d2-4d8b-9148-e3be6c30e623}">
          <xlrd:rvb i="818"/>
        </ext>
      </extLst>
    </bk>
    <bk>
      <extLst>
        <ext uri="{3e2802c4-a4d2-4d8b-9148-e3be6c30e623}">
          <xlrd:rvb i="819"/>
        </ext>
      </extLst>
    </bk>
    <bk>
      <extLst>
        <ext uri="{3e2802c4-a4d2-4d8b-9148-e3be6c30e623}">
          <xlrd:rvb i="820"/>
        </ext>
      </extLst>
    </bk>
    <bk>
      <extLst>
        <ext uri="{3e2802c4-a4d2-4d8b-9148-e3be6c30e623}">
          <xlrd:rvb i="821"/>
        </ext>
      </extLst>
    </bk>
    <bk>
      <extLst>
        <ext uri="{3e2802c4-a4d2-4d8b-9148-e3be6c30e623}">
          <xlrd:rvb i="822"/>
        </ext>
      </extLst>
    </bk>
    <bk>
      <extLst>
        <ext uri="{3e2802c4-a4d2-4d8b-9148-e3be6c30e623}">
          <xlrd:rvb i="823"/>
        </ext>
      </extLst>
    </bk>
    <bk>
      <extLst>
        <ext uri="{3e2802c4-a4d2-4d8b-9148-e3be6c30e623}">
          <xlrd:rvb i="824"/>
        </ext>
      </extLst>
    </bk>
    <bk>
      <extLst>
        <ext uri="{3e2802c4-a4d2-4d8b-9148-e3be6c30e623}">
          <xlrd:rvb i="825"/>
        </ext>
      </extLst>
    </bk>
    <bk>
      <extLst>
        <ext uri="{3e2802c4-a4d2-4d8b-9148-e3be6c30e623}">
          <xlrd:rvb i="826"/>
        </ext>
      </extLst>
    </bk>
    <bk>
      <extLst>
        <ext uri="{3e2802c4-a4d2-4d8b-9148-e3be6c30e623}">
          <xlrd:rvb i="827"/>
        </ext>
      </extLst>
    </bk>
    <bk>
      <extLst>
        <ext uri="{3e2802c4-a4d2-4d8b-9148-e3be6c30e623}">
          <xlrd:rvb i="828"/>
        </ext>
      </extLst>
    </bk>
    <bk>
      <extLst>
        <ext uri="{3e2802c4-a4d2-4d8b-9148-e3be6c30e623}">
          <xlrd:rvb i="829"/>
        </ext>
      </extLst>
    </bk>
    <bk>
      <extLst>
        <ext uri="{3e2802c4-a4d2-4d8b-9148-e3be6c30e623}">
          <xlrd:rvb i="830"/>
        </ext>
      </extLst>
    </bk>
    <bk>
      <extLst>
        <ext uri="{3e2802c4-a4d2-4d8b-9148-e3be6c30e623}">
          <xlrd:rvb i="831"/>
        </ext>
      </extLst>
    </bk>
    <bk>
      <extLst>
        <ext uri="{3e2802c4-a4d2-4d8b-9148-e3be6c30e623}">
          <xlrd:rvb i="832"/>
        </ext>
      </extLst>
    </bk>
    <bk>
      <extLst>
        <ext uri="{3e2802c4-a4d2-4d8b-9148-e3be6c30e623}">
          <xlrd:rvb i="833"/>
        </ext>
      </extLst>
    </bk>
    <bk>
      <extLst>
        <ext uri="{3e2802c4-a4d2-4d8b-9148-e3be6c30e623}">
          <xlrd:rvb i="834"/>
        </ext>
      </extLst>
    </bk>
    <bk>
      <extLst>
        <ext uri="{3e2802c4-a4d2-4d8b-9148-e3be6c30e623}">
          <xlrd:rvb i="835"/>
        </ext>
      </extLst>
    </bk>
    <bk>
      <extLst>
        <ext uri="{3e2802c4-a4d2-4d8b-9148-e3be6c30e623}">
          <xlrd:rvb i="836"/>
        </ext>
      </extLst>
    </bk>
    <bk>
      <extLst>
        <ext uri="{3e2802c4-a4d2-4d8b-9148-e3be6c30e623}">
          <xlrd:rvb i="837"/>
        </ext>
      </extLst>
    </bk>
    <bk>
      <extLst>
        <ext uri="{3e2802c4-a4d2-4d8b-9148-e3be6c30e623}">
          <xlrd:rvb i="838"/>
        </ext>
      </extLst>
    </bk>
    <bk>
      <extLst>
        <ext uri="{3e2802c4-a4d2-4d8b-9148-e3be6c30e623}">
          <xlrd:rvb i="839"/>
        </ext>
      </extLst>
    </bk>
    <bk>
      <extLst>
        <ext uri="{3e2802c4-a4d2-4d8b-9148-e3be6c30e623}">
          <xlrd:rvb i="840"/>
        </ext>
      </extLst>
    </bk>
    <bk>
      <extLst>
        <ext uri="{3e2802c4-a4d2-4d8b-9148-e3be6c30e623}">
          <xlrd:rvb i="841"/>
        </ext>
      </extLst>
    </bk>
    <bk>
      <extLst>
        <ext uri="{3e2802c4-a4d2-4d8b-9148-e3be6c30e623}">
          <xlrd:rvb i="842"/>
        </ext>
      </extLst>
    </bk>
    <bk>
      <extLst>
        <ext uri="{3e2802c4-a4d2-4d8b-9148-e3be6c30e623}">
          <xlrd:rvb i="843"/>
        </ext>
      </extLst>
    </bk>
    <bk>
      <extLst>
        <ext uri="{3e2802c4-a4d2-4d8b-9148-e3be6c30e623}">
          <xlrd:rvb i="844"/>
        </ext>
      </extLst>
    </bk>
    <bk>
      <extLst>
        <ext uri="{3e2802c4-a4d2-4d8b-9148-e3be6c30e623}">
          <xlrd:rvb i="845"/>
        </ext>
      </extLst>
    </bk>
    <bk>
      <extLst>
        <ext uri="{3e2802c4-a4d2-4d8b-9148-e3be6c30e623}">
          <xlrd:rvb i="846"/>
        </ext>
      </extLst>
    </bk>
    <bk>
      <extLst>
        <ext uri="{3e2802c4-a4d2-4d8b-9148-e3be6c30e623}">
          <xlrd:rvb i="847"/>
        </ext>
      </extLst>
    </bk>
    <bk>
      <extLst>
        <ext uri="{3e2802c4-a4d2-4d8b-9148-e3be6c30e623}">
          <xlrd:rvb i="848"/>
        </ext>
      </extLst>
    </bk>
    <bk>
      <extLst>
        <ext uri="{3e2802c4-a4d2-4d8b-9148-e3be6c30e623}">
          <xlrd:rvb i="849"/>
        </ext>
      </extLst>
    </bk>
    <bk>
      <extLst>
        <ext uri="{3e2802c4-a4d2-4d8b-9148-e3be6c30e623}">
          <xlrd:rvb i="850"/>
        </ext>
      </extLst>
    </bk>
    <bk>
      <extLst>
        <ext uri="{3e2802c4-a4d2-4d8b-9148-e3be6c30e623}">
          <xlrd:rvb i="851"/>
        </ext>
      </extLst>
    </bk>
    <bk>
      <extLst>
        <ext uri="{3e2802c4-a4d2-4d8b-9148-e3be6c30e623}">
          <xlrd:rvb i="852"/>
        </ext>
      </extLst>
    </bk>
    <bk>
      <extLst>
        <ext uri="{3e2802c4-a4d2-4d8b-9148-e3be6c30e623}">
          <xlrd:rvb i="853"/>
        </ext>
      </extLst>
    </bk>
    <bk>
      <extLst>
        <ext uri="{3e2802c4-a4d2-4d8b-9148-e3be6c30e623}">
          <xlrd:rvb i="854"/>
        </ext>
      </extLst>
    </bk>
    <bk>
      <extLst>
        <ext uri="{3e2802c4-a4d2-4d8b-9148-e3be6c30e623}">
          <xlrd:rvb i="855"/>
        </ext>
      </extLst>
    </bk>
    <bk>
      <extLst>
        <ext uri="{3e2802c4-a4d2-4d8b-9148-e3be6c30e623}">
          <xlrd:rvb i="856"/>
        </ext>
      </extLst>
    </bk>
    <bk>
      <extLst>
        <ext uri="{3e2802c4-a4d2-4d8b-9148-e3be6c30e623}">
          <xlrd:rvb i="857"/>
        </ext>
      </extLst>
    </bk>
    <bk>
      <extLst>
        <ext uri="{3e2802c4-a4d2-4d8b-9148-e3be6c30e623}">
          <xlrd:rvb i="858"/>
        </ext>
      </extLst>
    </bk>
    <bk>
      <extLst>
        <ext uri="{3e2802c4-a4d2-4d8b-9148-e3be6c30e623}">
          <xlrd:rvb i="859"/>
        </ext>
      </extLst>
    </bk>
    <bk>
      <extLst>
        <ext uri="{3e2802c4-a4d2-4d8b-9148-e3be6c30e623}">
          <xlrd:rvb i="860"/>
        </ext>
      </extLst>
    </bk>
    <bk>
      <extLst>
        <ext uri="{3e2802c4-a4d2-4d8b-9148-e3be6c30e623}">
          <xlrd:rvb i="861"/>
        </ext>
      </extLst>
    </bk>
    <bk>
      <extLst>
        <ext uri="{3e2802c4-a4d2-4d8b-9148-e3be6c30e623}">
          <xlrd:rvb i="862"/>
        </ext>
      </extLst>
    </bk>
    <bk>
      <extLst>
        <ext uri="{3e2802c4-a4d2-4d8b-9148-e3be6c30e623}">
          <xlrd:rvb i="863"/>
        </ext>
      </extLst>
    </bk>
    <bk>
      <extLst>
        <ext uri="{3e2802c4-a4d2-4d8b-9148-e3be6c30e623}">
          <xlrd:rvb i="864"/>
        </ext>
      </extLst>
    </bk>
    <bk>
      <extLst>
        <ext uri="{3e2802c4-a4d2-4d8b-9148-e3be6c30e623}">
          <xlrd:rvb i="865"/>
        </ext>
      </extLst>
    </bk>
    <bk>
      <extLst>
        <ext uri="{3e2802c4-a4d2-4d8b-9148-e3be6c30e623}">
          <xlrd:rvb i="866"/>
        </ext>
      </extLst>
    </bk>
    <bk>
      <extLst>
        <ext uri="{3e2802c4-a4d2-4d8b-9148-e3be6c30e623}">
          <xlrd:rvb i="867"/>
        </ext>
      </extLst>
    </bk>
    <bk>
      <extLst>
        <ext uri="{3e2802c4-a4d2-4d8b-9148-e3be6c30e623}">
          <xlrd:rvb i="868"/>
        </ext>
      </extLst>
    </bk>
    <bk>
      <extLst>
        <ext uri="{3e2802c4-a4d2-4d8b-9148-e3be6c30e623}">
          <xlrd:rvb i="869"/>
        </ext>
      </extLst>
    </bk>
    <bk>
      <extLst>
        <ext uri="{3e2802c4-a4d2-4d8b-9148-e3be6c30e623}">
          <xlrd:rvb i="870"/>
        </ext>
      </extLst>
    </bk>
    <bk>
      <extLst>
        <ext uri="{3e2802c4-a4d2-4d8b-9148-e3be6c30e623}">
          <xlrd:rvb i="871"/>
        </ext>
      </extLst>
    </bk>
    <bk>
      <extLst>
        <ext uri="{3e2802c4-a4d2-4d8b-9148-e3be6c30e623}">
          <xlrd:rvb i="872"/>
        </ext>
      </extLst>
    </bk>
    <bk>
      <extLst>
        <ext uri="{3e2802c4-a4d2-4d8b-9148-e3be6c30e623}">
          <xlrd:rvb i="873"/>
        </ext>
      </extLst>
    </bk>
    <bk>
      <extLst>
        <ext uri="{3e2802c4-a4d2-4d8b-9148-e3be6c30e623}">
          <xlrd:rvb i="874"/>
        </ext>
      </extLst>
    </bk>
    <bk>
      <extLst>
        <ext uri="{3e2802c4-a4d2-4d8b-9148-e3be6c30e623}">
          <xlrd:rvb i="875"/>
        </ext>
      </extLst>
    </bk>
    <bk>
      <extLst>
        <ext uri="{3e2802c4-a4d2-4d8b-9148-e3be6c30e623}">
          <xlrd:rvb i="876"/>
        </ext>
      </extLst>
    </bk>
    <bk>
      <extLst>
        <ext uri="{3e2802c4-a4d2-4d8b-9148-e3be6c30e623}">
          <xlrd:rvb i="877"/>
        </ext>
      </extLst>
    </bk>
    <bk>
      <extLst>
        <ext uri="{3e2802c4-a4d2-4d8b-9148-e3be6c30e623}">
          <xlrd:rvb i="878"/>
        </ext>
      </extLst>
    </bk>
    <bk>
      <extLst>
        <ext uri="{3e2802c4-a4d2-4d8b-9148-e3be6c30e623}">
          <xlrd:rvb i="879"/>
        </ext>
      </extLst>
    </bk>
    <bk>
      <extLst>
        <ext uri="{3e2802c4-a4d2-4d8b-9148-e3be6c30e623}">
          <xlrd:rvb i="880"/>
        </ext>
      </extLst>
    </bk>
    <bk>
      <extLst>
        <ext uri="{3e2802c4-a4d2-4d8b-9148-e3be6c30e623}">
          <xlrd:rvb i="881"/>
        </ext>
      </extLst>
    </bk>
    <bk>
      <extLst>
        <ext uri="{3e2802c4-a4d2-4d8b-9148-e3be6c30e623}">
          <xlrd:rvb i="882"/>
        </ext>
      </extLst>
    </bk>
    <bk>
      <extLst>
        <ext uri="{3e2802c4-a4d2-4d8b-9148-e3be6c30e623}">
          <xlrd:rvb i="883"/>
        </ext>
      </extLst>
    </bk>
    <bk>
      <extLst>
        <ext uri="{3e2802c4-a4d2-4d8b-9148-e3be6c30e623}">
          <xlrd:rvb i="884"/>
        </ext>
      </extLst>
    </bk>
    <bk>
      <extLst>
        <ext uri="{3e2802c4-a4d2-4d8b-9148-e3be6c30e623}">
          <xlrd:rvb i="885"/>
        </ext>
      </extLst>
    </bk>
    <bk>
      <extLst>
        <ext uri="{3e2802c4-a4d2-4d8b-9148-e3be6c30e623}">
          <xlrd:rvb i="886"/>
        </ext>
      </extLst>
    </bk>
    <bk>
      <extLst>
        <ext uri="{3e2802c4-a4d2-4d8b-9148-e3be6c30e623}">
          <xlrd:rvb i="887"/>
        </ext>
      </extLst>
    </bk>
    <bk>
      <extLst>
        <ext uri="{3e2802c4-a4d2-4d8b-9148-e3be6c30e623}">
          <xlrd:rvb i="888"/>
        </ext>
      </extLst>
    </bk>
    <bk>
      <extLst>
        <ext uri="{3e2802c4-a4d2-4d8b-9148-e3be6c30e623}">
          <xlrd:rvb i="889"/>
        </ext>
      </extLst>
    </bk>
    <bk>
      <extLst>
        <ext uri="{3e2802c4-a4d2-4d8b-9148-e3be6c30e623}">
          <xlrd:rvb i="890"/>
        </ext>
      </extLst>
    </bk>
    <bk>
      <extLst>
        <ext uri="{3e2802c4-a4d2-4d8b-9148-e3be6c30e623}">
          <xlrd:rvb i="891"/>
        </ext>
      </extLst>
    </bk>
    <bk>
      <extLst>
        <ext uri="{3e2802c4-a4d2-4d8b-9148-e3be6c30e623}">
          <xlrd:rvb i="892"/>
        </ext>
      </extLst>
    </bk>
    <bk>
      <extLst>
        <ext uri="{3e2802c4-a4d2-4d8b-9148-e3be6c30e623}">
          <xlrd:rvb i="893"/>
        </ext>
      </extLst>
    </bk>
    <bk>
      <extLst>
        <ext uri="{3e2802c4-a4d2-4d8b-9148-e3be6c30e623}">
          <xlrd:rvb i="894"/>
        </ext>
      </extLst>
    </bk>
    <bk>
      <extLst>
        <ext uri="{3e2802c4-a4d2-4d8b-9148-e3be6c30e623}">
          <xlrd:rvb i="895"/>
        </ext>
      </extLst>
    </bk>
    <bk>
      <extLst>
        <ext uri="{3e2802c4-a4d2-4d8b-9148-e3be6c30e623}">
          <xlrd:rvb i="896"/>
        </ext>
      </extLst>
    </bk>
    <bk>
      <extLst>
        <ext uri="{3e2802c4-a4d2-4d8b-9148-e3be6c30e623}">
          <xlrd:rvb i="897"/>
        </ext>
      </extLst>
    </bk>
    <bk>
      <extLst>
        <ext uri="{3e2802c4-a4d2-4d8b-9148-e3be6c30e623}">
          <xlrd:rvb i="898"/>
        </ext>
      </extLst>
    </bk>
    <bk>
      <extLst>
        <ext uri="{3e2802c4-a4d2-4d8b-9148-e3be6c30e623}">
          <xlrd:rvb i="899"/>
        </ext>
      </extLst>
    </bk>
    <bk>
      <extLst>
        <ext uri="{3e2802c4-a4d2-4d8b-9148-e3be6c30e623}">
          <xlrd:rvb i="900"/>
        </ext>
      </extLst>
    </bk>
    <bk>
      <extLst>
        <ext uri="{3e2802c4-a4d2-4d8b-9148-e3be6c30e623}">
          <xlrd:rvb i="901"/>
        </ext>
      </extLst>
    </bk>
    <bk>
      <extLst>
        <ext uri="{3e2802c4-a4d2-4d8b-9148-e3be6c30e623}">
          <xlrd:rvb i="902"/>
        </ext>
      </extLst>
    </bk>
    <bk>
      <extLst>
        <ext uri="{3e2802c4-a4d2-4d8b-9148-e3be6c30e623}">
          <xlrd:rvb i="903"/>
        </ext>
      </extLst>
    </bk>
    <bk>
      <extLst>
        <ext uri="{3e2802c4-a4d2-4d8b-9148-e3be6c30e623}">
          <xlrd:rvb i="904"/>
        </ext>
      </extLst>
    </bk>
    <bk>
      <extLst>
        <ext uri="{3e2802c4-a4d2-4d8b-9148-e3be6c30e623}">
          <xlrd:rvb i="905"/>
        </ext>
      </extLst>
    </bk>
    <bk>
      <extLst>
        <ext uri="{3e2802c4-a4d2-4d8b-9148-e3be6c30e623}">
          <xlrd:rvb i="906"/>
        </ext>
      </extLst>
    </bk>
    <bk>
      <extLst>
        <ext uri="{3e2802c4-a4d2-4d8b-9148-e3be6c30e623}">
          <xlrd:rvb i="907"/>
        </ext>
      </extLst>
    </bk>
    <bk>
      <extLst>
        <ext uri="{3e2802c4-a4d2-4d8b-9148-e3be6c30e623}">
          <xlrd:rvb i="908"/>
        </ext>
      </extLst>
    </bk>
    <bk>
      <extLst>
        <ext uri="{3e2802c4-a4d2-4d8b-9148-e3be6c30e623}">
          <xlrd:rvb i="909"/>
        </ext>
      </extLst>
    </bk>
    <bk>
      <extLst>
        <ext uri="{3e2802c4-a4d2-4d8b-9148-e3be6c30e623}">
          <xlrd:rvb i="910"/>
        </ext>
      </extLst>
    </bk>
    <bk>
      <extLst>
        <ext uri="{3e2802c4-a4d2-4d8b-9148-e3be6c30e623}">
          <xlrd:rvb i="911"/>
        </ext>
      </extLst>
    </bk>
    <bk>
      <extLst>
        <ext uri="{3e2802c4-a4d2-4d8b-9148-e3be6c30e623}">
          <xlrd:rvb i="912"/>
        </ext>
      </extLst>
    </bk>
    <bk>
      <extLst>
        <ext uri="{3e2802c4-a4d2-4d8b-9148-e3be6c30e623}">
          <xlrd:rvb i="913"/>
        </ext>
      </extLst>
    </bk>
    <bk>
      <extLst>
        <ext uri="{3e2802c4-a4d2-4d8b-9148-e3be6c30e623}">
          <xlrd:rvb i="914"/>
        </ext>
      </extLst>
    </bk>
    <bk>
      <extLst>
        <ext uri="{3e2802c4-a4d2-4d8b-9148-e3be6c30e623}">
          <xlrd:rvb i="915"/>
        </ext>
      </extLst>
    </bk>
    <bk>
      <extLst>
        <ext uri="{3e2802c4-a4d2-4d8b-9148-e3be6c30e623}">
          <xlrd:rvb i="916"/>
        </ext>
      </extLst>
    </bk>
    <bk>
      <extLst>
        <ext uri="{3e2802c4-a4d2-4d8b-9148-e3be6c30e623}">
          <xlrd:rvb i="917"/>
        </ext>
      </extLst>
    </bk>
    <bk>
      <extLst>
        <ext uri="{3e2802c4-a4d2-4d8b-9148-e3be6c30e623}">
          <xlrd:rvb i="918"/>
        </ext>
      </extLst>
    </bk>
    <bk>
      <extLst>
        <ext uri="{3e2802c4-a4d2-4d8b-9148-e3be6c30e623}">
          <xlrd:rvb i="919"/>
        </ext>
      </extLst>
    </bk>
    <bk>
      <extLst>
        <ext uri="{3e2802c4-a4d2-4d8b-9148-e3be6c30e623}">
          <xlrd:rvb i="920"/>
        </ext>
      </extLst>
    </bk>
    <bk>
      <extLst>
        <ext uri="{3e2802c4-a4d2-4d8b-9148-e3be6c30e623}">
          <xlrd:rvb i="921"/>
        </ext>
      </extLst>
    </bk>
    <bk>
      <extLst>
        <ext uri="{3e2802c4-a4d2-4d8b-9148-e3be6c30e623}">
          <xlrd:rvb i="922"/>
        </ext>
      </extLst>
    </bk>
    <bk>
      <extLst>
        <ext uri="{3e2802c4-a4d2-4d8b-9148-e3be6c30e623}">
          <xlrd:rvb i="923"/>
        </ext>
      </extLst>
    </bk>
    <bk>
      <extLst>
        <ext uri="{3e2802c4-a4d2-4d8b-9148-e3be6c30e623}">
          <xlrd:rvb i="924"/>
        </ext>
      </extLst>
    </bk>
    <bk>
      <extLst>
        <ext uri="{3e2802c4-a4d2-4d8b-9148-e3be6c30e623}">
          <xlrd:rvb i="925"/>
        </ext>
      </extLst>
    </bk>
    <bk>
      <extLst>
        <ext uri="{3e2802c4-a4d2-4d8b-9148-e3be6c30e623}">
          <xlrd:rvb i="926"/>
        </ext>
      </extLst>
    </bk>
    <bk>
      <extLst>
        <ext uri="{3e2802c4-a4d2-4d8b-9148-e3be6c30e623}">
          <xlrd:rvb i="927"/>
        </ext>
      </extLst>
    </bk>
    <bk>
      <extLst>
        <ext uri="{3e2802c4-a4d2-4d8b-9148-e3be6c30e623}">
          <xlrd:rvb i="928"/>
        </ext>
      </extLst>
    </bk>
    <bk>
      <extLst>
        <ext uri="{3e2802c4-a4d2-4d8b-9148-e3be6c30e623}">
          <xlrd:rvb i="929"/>
        </ext>
      </extLst>
    </bk>
    <bk>
      <extLst>
        <ext uri="{3e2802c4-a4d2-4d8b-9148-e3be6c30e623}">
          <xlrd:rvb i="930"/>
        </ext>
      </extLst>
    </bk>
    <bk>
      <extLst>
        <ext uri="{3e2802c4-a4d2-4d8b-9148-e3be6c30e623}">
          <xlrd:rvb i="931"/>
        </ext>
      </extLst>
    </bk>
    <bk>
      <extLst>
        <ext uri="{3e2802c4-a4d2-4d8b-9148-e3be6c30e623}">
          <xlrd:rvb i="932"/>
        </ext>
      </extLst>
    </bk>
    <bk>
      <extLst>
        <ext uri="{3e2802c4-a4d2-4d8b-9148-e3be6c30e623}">
          <xlrd:rvb i="933"/>
        </ext>
      </extLst>
    </bk>
    <bk>
      <extLst>
        <ext uri="{3e2802c4-a4d2-4d8b-9148-e3be6c30e623}">
          <xlrd:rvb i="934"/>
        </ext>
      </extLst>
    </bk>
    <bk>
      <extLst>
        <ext uri="{3e2802c4-a4d2-4d8b-9148-e3be6c30e623}">
          <xlrd:rvb i="935"/>
        </ext>
      </extLst>
    </bk>
    <bk>
      <extLst>
        <ext uri="{3e2802c4-a4d2-4d8b-9148-e3be6c30e623}">
          <xlrd:rvb i="936"/>
        </ext>
      </extLst>
    </bk>
    <bk>
      <extLst>
        <ext uri="{3e2802c4-a4d2-4d8b-9148-e3be6c30e623}">
          <xlrd:rvb i="937"/>
        </ext>
      </extLst>
    </bk>
    <bk>
      <extLst>
        <ext uri="{3e2802c4-a4d2-4d8b-9148-e3be6c30e623}">
          <xlrd:rvb i="938"/>
        </ext>
      </extLst>
    </bk>
    <bk>
      <extLst>
        <ext uri="{3e2802c4-a4d2-4d8b-9148-e3be6c30e623}">
          <xlrd:rvb i="939"/>
        </ext>
      </extLst>
    </bk>
    <bk>
      <extLst>
        <ext uri="{3e2802c4-a4d2-4d8b-9148-e3be6c30e623}">
          <xlrd:rvb i="940"/>
        </ext>
      </extLst>
    </bk>
    <bk>
      <extLst>
        <ext uri="{3e2802c4-a4d2-4d8b-9148-e3be6c30e623}">
          <xlrd:rvb i="941"/>
        </ext>
      </extLst>
    </bk>
    <bk>
      <extLst>
        <ext uri="{3e2802c4-a4d2-4d8b-9148-e3be6c30e623}">
          <xlrd:rvb i="942"/>
        </ext>
      </extLst>
    </bk>
    <bk>
      <extLst>
        <ext uri="{3e2802c4-a4d2-4d8b-9148-e3be6c30e623}">
          <xlrd:rvb i="943"/>
        </ext>
      </extLst>
    </bk>
    <bk>
      <extLst>
        <ext uri="{3e2802c4-a4d2-4d8b-9148-e3be6c30e623}">
          <xlrd:rvb i="944"/>
        </ext>
      </extLst>
    </bk>
    <bk>
      <extLst>
        <ext uri="{3e2802c4-a4d2-4d8b-9148-e3be6c30e623}">
          <xlrd:rvb i="945"/>
        </ext>
      </extLst>
    </bk>
    <bk>
      <extLst>
        <ext uri="{3e2802c4-a4d2-4d8b-9148-e3be6c30e623}">
          <xlrd:rvb i="946"/>
        </ext>
      </extLst>
    </bk>
    <bk>
      <extLst>
        <ext uri="{3e2802c4-a4d2-4d8b-9148-e3be6c30e623}">
          <xlrd:rvb i="947"/>
        </ext>
      </extLst>
    </bk>
    <bk>
      <extLst>
        <ext uri="{3e2802c4-a4d2-4d8b-9148-e3be6c30e623}">
          <xlrd:rvb i="948"/>
        </ext>
      </extLst>
    </bk>
    <bk>
      <extLst>
        <ext uri="{3e2802c4-a4d2-4d8b-9148-e3be6c30e623}">
          <xlrd:rvb i="949"/>
        </ext>
      </extLst>
    </bk>
    <bk>
      <extLst>
        <ext uri="{3e2802c4-a4d2-4d8b-9148-e3be6c30e623}">
          <xlrd:rvb i="950"/>
        </ext>
      </extLst>
    </bk>
    <bk>
      <extLst>
        <ext uri="{3e2802c4-a4d2-4d8b-9148-e3be6c30e623}">
          <xlrd:rvb i="951"/>
        </ext>
      </extLst>
    </bk>
    <bk>
      <extLst>
        <ext uri="{3e2802c4-a4d2-4d8b-9148-e3be6c30e623}">
          <xlrd:rvb i="952"/>
        </ext>
      </extLst>
    </bk>
    <bk>
      <extLst>
        <ext uri="{3e2802c4-a4d2-4d8b-9148-e3be6c30e623}">
          <xlrd:rvb i="953"/>
        </ext>
      </extLst>
    </bk>
    <bk>
      <extLst>
        <ext uri="{3e2802c4-a4d2-4d8b-9148-e3be6c30e623}">
          <xlrd:rvb i="954"/>
        </ext>
      </extLst>
    </bk>
    <bk>
      <extLst>
        <ext uri="{3e2802c4-a4d2-4d8b-9148-e3be6c30e623}">
          <xlrd:rvb i="955"/>
        </ext>
      </extLst>
    </bk>
    <bk>
      <extLst>
        <ext uri="{3e2802c4-a4d2-4d8b-9148-e3be6c30e623}">
          <xlrd:rvb i="956"/>
        </ext>
      </extLst>
    </bk>
    <bk>
      <extLst>
        <ext uri="{3e2802c4-a4d2-4d8b-9148-e3be6c30e623}">
          <xlrd:rvb i="957"/>
        </ext>
      </extLst>
    </bk>
    <bk>
      <extLst>
        <ext uri="{3e2802c4-a4d2-4d8b-9148-e3be6c30e623}">
          <xlrd:rvb i="958"/>
        </ext>
      </extLst>
    </bk>
    <bk>
      <extLst>
        <ext uri="{3e2802c4-a4d2-4d8b-9148-e3be6c30e623}">
          <xlrd:rvb i="959"/>
        </ext>
      </extLst>
    </bk>
    <bk>
      <extLst>
        <ext uri="{3e2802c4-a4d2-4d8b-9148-e3be6c30e623}">
          <xlrd:rvb i="960"/>
        </ext>
      </extLst>
    </bk>
    <bk>
      <extLst>
        <ext uri="{3e2802c4-a4d2-4d8b-9148-e3be6c30e623}">
          <xlrd:rvb i="961"/>
        </ext>
      </extLst>
    </bk>
    <bk>
      <extLst>
        <ext uri="{3e2802c4-a4d2-4d8b-9148-e3be6c30e623}">
          <xlrd:rvb i="962"/>
        </ext>
      </extLst>
    </bk>
    <bk>
      <extLst>
        <ext uri="{3e2802c4-a4d2-4d8b-9148-e3be6c30e623}">
          <xlrd:rvb i="963"/>
        </ext>
      </extLst>
    </bk>
    <bk>
      <extLst>
        <ext uri="{3e2802c4-a4d2-4d8b-9148-e3be6c30e623}">
          <xlrd:rvb i="964"/>
        </ext>
      </extLst>
    </bk>
    <bk>
      <extLst>
        <ext uri="{3e2802c4-a4d2-4d8b-9148-e3be6c30e623}">
          <xlrd:rvb i="965"/>
        </ext>
      </extLst>
    </bk>
    <bk>
      <extLst>
        <ext uri="{3e2802c4-a4d2-4d8b-9148-e3be6c30e623}">
          <xlrd:rvb i="966"/>
        </ext>
      </extLst>
    </bk>
    <bk>
      <extLst>
        <ext uri="{3e2802c4-a4d2-4d8b-9148-e3be6c30e623}">
          <xlrd:rvb i="967"/>
        </ext>
      </extLst>
    </bk>
    <bk>
      <extLst>
        <ext uri="{3e2802c4-a4d2-4d8b-9148-e3be6c30e623}">
          <xlrd:rvb i="968"/>
        </ext>
      </extLst>
    </bk>
    <bk>
      <extLst>
        <ext uri="{3e2802c4-a4d2-4d8b-9148-e3be6c30e623}">
          <xlrd:rvb i="969"/>
        </ext>
      </extLst>
    </bk>
    <bk>
      <extLst>
        <ext uri="{3e2802c4-a4d2-4d8b-9148-e3be6c30e623}">
          <xlrd:rvb i="970"/>
        </ext>
      </extLst>
    </bk>
    <bk>
      <extLst>
        <ext uri="{3e2802c4-a4d2-4d8b-9148-e3be6c30e623}">
          <xlrd:rvb i="971"/>
        </ext>
      </extLst>
    </bk>
    <bk>
      <extLst>
        <ext uri="{3e2802c4-a4d2-4d8b-9148-e3be6c30e623}">
          <xlrd:rvb i="972"/>
        </ext>
      </extLst>
    </bk>
    <bk>
      <extLst>
        <ext uri="{3e2802c4-a4d2-4d8b-9148-e3be6c30e623}">
          <xlrd:rvb i="973"/>
        </ext>
      </extLst>
    </bk>
    <bk>
      <extLst>
        <ext uri="{3e2802c4-a4d2-4d8b-9148-e3be6c30e623}">
          <xlrd:rvb i="974"/>
        </ext>
      </extLst>
    </bk>
    <bk>
      <extLst>
        <ext uri="{3e2802c4-a4d2-4d8b-9148-e3be6c30e623}">
          <xlrd:rvb i="975"/>
        </ext>
      </extLst>
    </bk>
    <bk>
      <extLst>
        <ext uri="{3e2802c4-a4d2-4d8b-9148-e3be6c30e623}">
          <xlrd:rvb i="976"/>
        </ext>
      </extLst>
    </bk>
    <bk>
      <extLst>
        <ext uri="{3e2802c4-a4d2-4d8b-9148-e3be6c30e623}">
          <xlrd:rvb i="977"/>
        </ext>
      </extLst>
    </bk>
    <bk>
      <extLst>
        <ext uri="{3e2802c4-a4d2-4d8b-9148-e3be6c30e623}">
          <xlrd:rvb i="978"/>
        </ext>
      </extLst>
    </bk>
    <bk>
      <extLst>
        <ext uri="{3e2802c4-a4d2-4d8b-9148-e3be6c30e623}">
          <xlrd:rvb i="981"/>
        </ext>
      </extLst>
    </bk>
    <bk>
      <extLst>
        <ext uri="{3e2802c4-a4d2-4d8b-9148-e3be6c30e623}">
          <xlrd:rvb i="982"/>
        </ext>
      </extLst>
    </bk>
    <bk>
      <extLst>
        <ext uri="{3e2802c4-a4d2-4d8b-9148-e3be6c30e623}">
          <xlrd:rvb i="983"/>
        </ext>
      </extLst>
    </bk>
    <bk>
      <extLst>
        <ext uri="{3e2802c4-a4d2-4d8b-9148-e3be6c30e623}">
          <xlrd:rvb i="984"/>
        </ext>
      </extLst>
    </bk>
    <bk>
      <extLst>
        <ext uri="{3e2802c4-a4d2-4d8b-9148-e3be6c30e623}">
          <xlrd:rvb i="985"/>
        </ext>
      </extLst>
    </bk>
    <bk>
      <extLst>
        <ext uri="{3e2802c4-a4d2-4d8b-9148-e3be6c30e623}">
          <xlrd:rvb i="986"/>
        </ext>
      </extLst>
    </bk>
    <bk>
      <extLst>
        <ext uri="{3e2802c4-a4d2-4d8b-9148-e3be6c30e623}">
          <xlrd:rvb i="987"/>
        </ext>
      </extLst>
    </bk>
    <bk>
      <extLst>
        <ext uri="{3e2802c4-a4d2-4d8b-9148-e3be6c30e623}">
          <xlrd:rvb i="988"/>
        </ext>
      </extLst>
    </bk>
    <bk>
      <extLst>
        <ext uri="{3e2802c4-a4d2-4d8b-9148-e3be6c30e623}">
          <xlrd:rvb i="989"/>
        </ext>
      </extLst>
    </bk>
    <bk>
      <extLst>
        <ext uri="{3e2802c4-a4d2-4d8b-9148-e3be6c30e623}">
          <xlrd:rvb i="990"/>
        </ext>
      </extLst>
    </bk>
    <bk>
      <extLst>
        <ext uri="{3e2802c4-a4d2-4d8b-9148-e3be6c30e623}">
          <xlrd:rvb i="991"/>
        </ext>
      </extLst>
    </bk>
    <bk>
      <extLst>
        <ext uri="{3e2802c4-a4d2-4d8b-9148-e3be6c30e623}">
          <xlrd:rvb i="992"/>
        </ext>
      </extLst>
    </bk>
    <bk>
      <extLst>
        <ext uri="{3e2802c4-a4d2-4d8b-9148-e3be6c30e623}">
          <xlrd:rvb i="993"/>
        </ext>
      </extLst>
    </bk>
    <bk>
      <extLst>
        <ext uri="{3e2802c4-a4d2-4d8b-9148-e3be6c30e623}">
          <xlrd:rvb i="994"/>
        </ext>
      </extLst>
    </bk>
    <bk>
      <extLst>
        <ext uri="{3e2802c4-a4d2-4d8b-9148-e3be6c30e623}">
          <xlrd:rvb i="995"/>
        </ext>
      </extLst>
    </bk>
    <bk>
      <extLst>
        <ext uri="{3e2802c4-a4d2-4d8b-9148-e3be6c30e623}">
          <xlrd:rvb i="996"/>
        </ext>
      </extLst>
    </bk>
    <bk>
      <extLst>
        <ext uri="{3e2802c4-a4d2-4d8b-9148-e3be6c30e623}">
          <xlrd:rvb i="997"/>
        </ext>
      </extLst>
    </bk>
    <bk>
      <extLst>
        <ext uri="{3e2802c4-a4d2-4d8b-9148-e3be6c30e623}">
          <xlrd:rvb i="998"/>
        </ext>
      </extLst>
    </bk>
    <bk>
      <extLst>
        <ext uri="{3e2802c4-a4d2-4d8b-9148-e3be6c30e623}">
          <xlrd:rvb i="999"/>
        </ext>
      </extLst>
    </bk>
    <bk>
      <extLst>
        <ext uri="{3e2802c4-a4d2-4d8b-9148-e3be6c30e623}">
          <xlrd:rvb i="1000"/>
        </ext>
      </extLst>
    </bk>
    <bk>
      <extLst>
        <ext uri="{3e2802c4-a4d2-4d8b-9148-e3be6c30e623}">
          <xlrd:rvb i="1001"/>
        </ext>
      </extLst>
    </bk>
    <bk>
      <extLst>
        <ext uri="{3e2802c4-a4d2-4d8b-9148-e3be6c30e623}">
          <xlrd:rvb i="1002"/>
        </ext>
      </extLst>
    </bk>
    <bk>
      <extLst>
        <ext uri="{3e2802c4-a4d2-4d8b-9148-e3be6c30e623}">
          <xlrd:rvb i="1003"/>
        </ext>
      </extLst>
    </bk>
    <bk>
      <extLst>
        <ext uri="{3e2802c4-a4d2-4d8b-9148-e3be6c30e623}">
          <xlrd:rvb i="1004"/>
        </ext>
      </extLst>
    </bk>
    <bk>
      <extLst>
        <ext uri="{3e2802c4-a4d2-4d8b-9148-e3be6c30e623}">
          <xlrd:rvb i="1005"/>
        </ext>
      </extLst>
    </bk>
    <bk>
      <extLst>
        <ext uri="{3e2802c4-a4d2-4d8b-9148-e3be6c30e623}">
          <xlrd:rvb i="1006"/>
        </ext>
      </extLst>
    </bk>
    <bk>
      <extLst>
        <ext uri="{3e2802c4-a4d2-4d8b-9148-e3be6c30e623}">
          <xlrd:rvb i="1007"/>
        </ext>
      </extLst>
    </bk>
    <bk>
      <extLst>
        <ext uri="{3e2802c4-a4d2-4d8b-9148-e3be6c30e623}">
          <xlrd:rvb i="1008"/>
        </ext>
      </extLst>
    </bk>
    <bk>
      <extLst>
        <ext uri="{3e2802c4-a4d2-4d8b-9148-e3be6c30e623}">
          <xlrd:rvb i="1009"/>
        </ext>
      </extLst>
    </bk>
    <bk>
      <extLst>
        <ext uri="{3e2802c4-a4d2-4d8b-9148-e3be6c30e623}">
          <xlrd:rvb i="1010"/>
        </ext>
      </extLst>
    </bk>
    <bk>
      <extLst>
        <ext uri="{3e2802c4-a4d2-4d8b-9148-e3be6c30e623}">
          <xlrd:rvb i="1011"/>
        </ext>
      </extLst>
    </bk>
    <bk>
      <extLst>
        <ext uri="{3e2802c4-a4d2-4d8b-9148-e3be6c30e623}">
          <xlrd:rvb i="1012"/>
        </ext>
      </extLst>
    </bk>
    <bk>
      <extLst>
        <ext uri="{3e2802c4-a4d2-4d8b-9148-e3be6c30e623}">
          <xlrd:rvb i="1013"/>
        </ext>
      </extLst>
    </bk>
    <bk>
      <extLst>
        <ext uri="{3e2802c4-a4d2-4d8b-9148-e3be6c30e623}">
          <xlrd:rvb i="1014"/>
        </ext>
      </extLst>
    </bk>
    <bk>
      <extLst>
        <ext uri="{3e2802c4-a4d2-4d8b-9148-e3be6c30e623}">
          <xlrd:rvb i="1015"/>
        </ext>
      </extLst>
    </bk>
    <bk>
      <extLst>
        <ext uri="{3e2802c4-a4d2-4d8b-9148-e3be6c30e623}">
          <xlrd:rvb i="1016"/>
        </ext>
      </extLst>
    </bk>
    <bk>
      <extLst>
        <ext uri="{3e2802c4-a4d2-4d8b-9148-e3be6c30e623}">
          <xlrd:rvb i="1017"/>
        </ext>
      </extLst>
    </bk>
    <bk>
      <extLst>
        <ext uri="{3e2802c4-a4d2-4d8b-9148-e3be6c30e623}">
          <xlrd:rvb i="1018"/>
        </ext>
      </extLst>
    </bk>
    <bk>
      <extLst>
        <ext uri="{3e2802c4-a4d2-4d8b-9148-e3be6c30e623}">
          <xlrd:rvb i="1019"/>
        </ext>
      </extLst>
    </bk>
    <bk>
      <extLst>
        <ext uri="{3e2802c4-a4d2-4d8b-9148-e3be6c30e623}">
          <xlrd:rvb i="1020"/>
        </ext>
      </extLst>
    </bk>
    <bk>
      <extLst>
        <ext uri="{3e2802c4-a4d2-4d8b-9148-e3be6c30e623}">
          <xlrd:rvb i="1021"/>
        </ext>
      </extLst>
    </bk>
    <bk>
      <extLst>
        <ext uri="{3e2802c4-a4d2-4d8b-9148-e3be6c30e623}">
          <xlrd:rvb i="1022"/>
        </ext>
      </extLst>
    </bk>
    <bk>
      <extLst>
        <ext uri="{3e2802c4-a4d2-4d8b-9148-e3be6c30e623}">
          <xlrd:rvb i="1023"/>
        </ext>
      </extLst>
    </bk>
    <bk>
      <extLst>
        <ext uri="{3e2802c4-a4d2-4d8b-9148-e3be6c30e623}">
          <xlrd:rvb i="1024"/>
        </ext>
      </extLst>
    </bk>
    <bk>
      <extLst>
        <ext uri="{3e2802c4-a4d2-4d8b-9148-e3be6c30e623}">
          <xlrd:rvb i="1025"/>
        </ext>
      </extLst>
    </bk>
    <bk>
      <extLst>
        <ext uri="{3e2802c4-a4d2-4d8b-9148-e3be6c30e623}">
          <xlrd:rvb i="1026"/>
        </ext>
      </extLst>
    </bk>
    <bk>
      <extLst>
        <ext uri="{3e2802c4-a4d2-4d8b-9148-e3be6c30e623}">
          <xlrd:rvb i="1027"/>
        </ext>
      </extLst>
    </bk>
    <bk>
      <extLst>
        <ext uri="{3e2802c4-a4d2-4d8b-9148-e3be6c30e623}">
          <xlrd:rvb i="1028"/>
        </ext>
      </extLst>
    </bk>
    <bk>
      <extLst>
        <ext uri="{3e2802c4-a4d2-4d8b-9148-e3be6c30e623}">
          <xlrd:rvb i="1029"/>
        </ext>
      </extLst>
    </bk>
    <bk>
      <extLst>
        <ext uri="{3e2802c4-a4d2-4d8b-9148-e3be6c30e623}">
          <xlrd:rvb i="1030"/>
        </ext>
      </extLst>
    </bk>
    <bk>
      <extLst>
        <ext uri="{3e2802c4-a4d2-4d8b-9148-e3be6c30e623}">
          <xlrd:rvb i="1031"/>
        </ext>
      </extLst>
    </bk>
    <bk>
      <extLst>
        <ext uri="{3e2802c4-a4d2-4d8b-9148-e3be6c30e623}">
          <xlrd:rvb i="1032"/>
        </ext>
      </extLst>
    </bk>
    <bk>
      <extLst>
        <ext uri="{3e2802c4-a4d2-4d8b-9148-e3be6c30e623}">
          <xlrd:rvb i="1033"/>
        </ext>
      </extLst>
    </bk>
    <bk>
      <extLst>
        <ext uri="{3e2802c4-a4d2-4d8b-9148-e3be6c30e623}">
          <xlrd:rvb i="1034"/>
        </ext>
      </extLst>
    </bk>
    <bk>
      <extLst>
        <ext uri="{3e2802c4-a4d2-4d8b-9148-e3be6c30e623}">
          <xlrd:rvb i="1035"/>
        </ext>
      </extLst>
    </bk>
    <bk>
      <extLst>
        <ext uri="{3e2802c4-a4d2-4d8b-9148-e3be6c30e623}">
          <xlrd:rvb i="1036"/>
        </ext>
      </extLst>
    </bk>
    <bk>
      <extLst>
        <ext uri="{3e2802c4-a4d2-4d8b-9148-e3be6c30e623}">
          <xlrd:rvb i="1037"/>
        </ext>
      </extLst>
    </bk>
    <bk>
      <extLst>
        <ext uri="{3e2802c4-a4d2-4d8b-9148-e3be6c30e623}">
          <xlrd:rvb i="1038"/>
        </ext>
      </extLst>
    </bk>
    <bk>
      <extLst>
        <ext uri="{3e2802c4-a4d2-4d8b-9148-e3be6c30e623}">
          <xlrd:rvb i="1039"/>
        </ext>
      </extLst>
    </bk>
    <bk>
      <extLst>
        <ext uri="{3e2802c4-a4d2-4d8b-9148-e3be6c30e623}">
          <xlrd:rvb i="1040"/>
        </ext>
      </extLst>
    </bk>
    <bk>
      <extLst>
        <ext uri="{3e2802c4-a4d2-4d8b-9148-e3be6c30e623}">
          <xlrd:rvb i="1041"/>
        </ext>
      </extLst>
    </bk>
    <bk>
      <extLst>
        <ext uri="{3e2802c4-a4d2-4d8b-9148-e3be6c30e623}">
          <xlrd:rvb i="1042"/>
        </ext>
      </extLst>
    </bk>
    <bk>
      <extLst>
        <ext uri="{3e2802c4-a4d2-4d8b-9148-e3be6c30e623}">
          <xlrd:rvb i="1043"/>
        </ext>
      </extLst>
    </bk>
    <bk>
      <extLst>
        <ext uri="{3e2802c4-a4d2-4d8b-9148-e3be6c30e623}">
          <xlrd:rvb i="1044"/>
        </ext>
      </extLst>
    </bk>
    <bk>
      <extLst>
        <ext uri="{3e2802c4-a4d2-4d8b-9148-e3be6c30e623}">
          <xlrd:rvb i="1045"/>
        </ext>
      </extLst>
    </bk>
    <bk>
      <extLst>
        <ext uri="{3e2802c4-a4d2-4d8b-9148-e3be6c30e623}">
          <xlrd:rvb i="1046"/>
        </ext>
      </extLst>
    </bk>
    <bk>
      <extLst>
        <ext uri="{3e2802c4-a4d2-4d8b-9148-e3be6c30e623}">
          <xlrd:rvb i="1047"/>
        </ext>
      </extLst>
    </bk>
    <bk>
      <extLst>
        <ext uri="{3e2802c4-a4d2-4d8b-9148-e3be6c30e623}">
          <xlrd:rvb i="1048"/>
        </ext>
      </extLst>
    </bk>
    <bk>
      <extLst>
        <ext uri="{3e2802c4-a4d2-4d8b-9148-e3be6c30e623}">
          <xlrd:rvb i="1049"/>
        </ext>
      </extLst>
    </bk>
    <bk>
      <extLst>
        <ext uri="{3e2802c4-a4d2-4d8b-9148-e3be6c30e623}">
          <xlrd:rvb i="1050"/>
        </ext>
      </extLst>
    </bk>
    <bk>
      <extLst>
        <ext uri="{3e2802c4-a4d2-4d8b-9148-e3be6c30e623}">
          <xlrd:rvb i="1051"/>
        </ext>
      </extLst>
    </bk>
    <bk>
      <extLst>
        <ext uri="{3e2802c4-a4d2-4d8b-9148-e3be6c30e623}">
          <xlrd:rvb i="1052"/>
        </ext>
      </extLst>
    </bk>
    <bk>
      <extLst>
        <ext uri="{3e2802c4-a4d2-4d8b-9148-e3be6c30e623}">
          <xlrd:rvb i="1053"/>
        </ext>
      </extLst>
    </bk>
    <bk>
      <extLst>
        <ext uri="{3e2802c4-a4d2-4d8b-9148-e3be6c30e623}">
          <xlrd:rvb i="1054"/>
        </ext>
      </extLst>
    </bk>
    <bk>
      <extLst>
        <ext uri="{3e2802c4-a4d2-4d8b-9148-e3be6c30e623}">
          <xlrd:rvb i="1055"/>
        </ext>
      </extLst>
    </bk>
    <bk>
      <extLst>
        <ext uri="{3e2802c4-a4d2-4d8b-9148-e3be6c30e623}">
          <xlrd:rvb i="1056"/>
        </ext>
      </extLst>
    </bk>
    <bk>
      <extLst>
        <ext uri="{3e2802c4-a4d2-4d8b-9148-e3be6c30e623}">
          <xlrd:rvb i="1057"/>
        </ext>
      </extLst>
    </bk>
    <bk>
      <extLst>
        <ext uri="{3e2802c4-a4d2-4d8b-9148-e3be6c30e623}">
          <xlrd:rvb i="1058"/>
        </ext>
      </extLst>
    </bk>
    <bk>
      <extLst>
        <ext uri="{3e2802c4-a4d2-4d8b-9148-e3be6c30e623}">
          <xlrd:rvb i="1059"/>
        </ext>
      </extLst>
    </bk>
    <bk>
      <extLst>
        <ext uri="{3e2802c4-a4d2-4d8b-9148-e3be6c30e623}">
          <xlrd:rvb i="1060"/>
        </ext>
      </extLst>
    </bk>
    <bk>
      <extLst>
        <ext uri="{3e2802c4-a4d2-4d8b-9148-e3be6c30e623}">
          <xlrd:rvb i="1061"/>
        </ext>
      </extLst>
    </bk>
    <bk>
      <extLst>
        <ext uri="{3e2802c4-a4d2-4d8b-9148-e3be6c30e623}">
          <xlrd:rvb i="1062"/>
        </ext>
      </extLst>
    </bk>
    <bk>
      <extLst>
        <ext uri="{3e2802c4-a4d2-4d8b-9148-e3be6c30e623}">
          <xlrd:rvb i="1063"/>
        </ext>
      </extLst>
    </bk>
    <bk>
      <extLst>
        <ext uri="{3e2802c4-a4d2-4d8b-9148-e3be6c30e623}">
          <xlrd:rvb i="1064"/>
        </ext>
      </extLst>
    </bk>
    <bk>
      <extLst>
        <ext uri="{3e2802c4-a4d2-4d8b-9148-e3be6c30e623}">
          <xlrd:rvb i="1065"/>
        </ext>
      </extLst>
    </bk>
    <bk>
      <extLst>
        <ext uri="{3e2802c4-a4d2-4d8b-9148-e3be6c30e623}">
          <xlrd:rvb i="1066"/>
        </ext>
      </extLst>
    </bk>
    <bk>
      <extLst>
        <ext uri="{3e2802c4-a4d2-4d8b-9148-e3be6c30e623}">
          <xlrd:rvb i="1067"/>
        </ext>
      </extLst>
    </bk>
    <bk>
      <extLst>
        <ext uri="{3e2802c4-a4d2-4d8b-9148-e3be6c30e623}">
          <xlrd:rvb i="1068"/>
        </ext>
      </extLst>
    </bk>
    <bk>
      <extLst>
        <ext uri="{3e2802c4-a4d2-4d8b-9148-e3be6c30e623}">
          <xlrd:rvb i="1069"/>
        </ext>
      </extLst>
    </bk>
    <bk>
      <extLst>
        <ext uri="{3e2802c4-a4d2-4d8b-9148-e3be6c30e623}">
          <xlrd:rvb i="1070"/>
        </ext>
      </extLst>
    </bk>
    <bk>
      <extLst>
        <ext uri="{3e2802c4-a4d2-4d8b-9148-e3be6c30e623}">
          <xlrd:rvb i="1071"/>
        </ext>
      </extLst>
    </bk>
    <bk>
      <extLst>
        <ext uri="{3e2802c4-a4d2-4d8b-9148-e3be6c30e623}">
          <xlrd:rvb i="1072"/>
        </ext>
      </extLst>
    </bk>
    <bk>
      <extLst>
        <ext uri="{3e2802c4-a4d2-4d8b-9148-e3be6c30e623}">
          <xlrd:rvb i="1073"/>
        </ext>
      </extLst>
    </bk>
    <bk>
      <extLst>
        <ext uri="{3e2802c4-a4d2-4d8b-9148-e3be6c30e623}">
          <xlrd:rvb i="1074"/>
        </ext>
      </extLst>
    </bk>
    <bk>
      <extLst>
        <ext uri="{3e2802c4-a4d2-4d8b-9148-e3be6c30e623}">
          <xlrd:rvb i="1075"/>
        </ext>
      </extLst>
    </bk>
    <bk>
      <extLst>
        <ext uri="{3e2802c4-a4d2-4d8b-9148-e3be6c30e623}">
          <xlrd:rvb i="1076"/>
        </ext>
      </extLst>
    </bk>
    <bk>
      <extLst>
        <ext uri="{3e2802c4-a4d2-4d8b-9148-e3be6c30e623}">
          <xlrd:rvb i="1077"/>
        </ext>
      </extLst>
    </bk>
    <bk>
      <extLst>
        <ext uri="{3e2802c4-a4d2-4d8b-9148-e3be6c30e623}">
          <xlrd:rvb i="1078"/>
        </ext>
      </extLst>
    </bk>
    <bk>
      <extLst>
        <ext uri="{3e2802c4-a4d2-4d8b-9148-e3be6c30e623}">
          <xlrd:rvb i="1079"/>
        </ext>
      </extLst>
    </bk>
    <bk>
      <extLst>
        <ext uri="{3e2802c4-a4d2-4d8b-9148-e3be6c30e623}">
          <xlrd:rvb i="1080"/>
        </ext>
      </extLst>
    </bk>
    <bk>
      <extLst>
        <ext uri="{3e2802c4-a4d2-4d8b-9148-e3be6c30e623}">
          <xlrd:rvb i="1081"/>
        </ext>
      </extLst>
    </bk>
    <bk>
      <extLst>
        <ext uri="{3e2802c4-a4d2-4d8b-9148-e3be6c30e623}">
          <xlrd:rvb i="1082"/>
        </ext>
      </extLst>
    </bk>
    <bk>
      <extLst>
        <ext uri="{3e2802c4-a4d2-4d8b-9148-e3be6c30e623}">
          <xlrd:rvb i="1083"/>
        </ext>
      </extLst>
    </bk>
    <bk>
      <extLst>
        <ext uri="{3e2802c4-a4d2-4d8b-9148-e3be6c30e623}">
          <xlrd:rvb i="1084"/>
        </ext>
      </extLst>
    </bk>
    <bk>
      <extLst>
        <ext uri="{3e2802c4-a4d2-4d8b-9148-e3be6c30e623}">
          <xlrd:rvb i="1085"/>
        </ext>
      </extLst>
    </bk>
    <bk>
      <extLst>
        <ext uri="{3e2802c4-a4d2-4d8b-9148-e3be6c30e623}">
          <xlrd:rvb i="1086"/>
        </ext>
      </extLst>
    </bk>
    <bk>
      <extLst>
        <ext uri="{3e2802c4-a4d2-4d8b-9148-e3be6c30e623}">
          <xlrd:rvb i="1087"/>
        </ext>
      </extLst>
    </bk>
    <bk>
      <extLst>
        <ext uri="{3e2802c4-a4d2-4d8b-9148-e3be6c30e623}">
          <xlrd:rvb i="1088"/>
        </ext>
      </extLst>
    </bk>
    <bk>
      <extLst>
        <ext uri="{3e2802c4-a4d2-4d8b-9148-e3be6c30e623}">
          <xlrd:rvb i="1089"/>
        </ext>
      </extLst>
    </bk>
    <bk>
      <extLst>
        <ext uri="{3e2802c4-a4d2-4d8b-9148-e3be6c30e623}">
          <xlrd:rvb i="1090"/>
        </ext>
      </extLst>
    </bk>
    <bk>
      <extLst>
        <ext uri="{3e2802c4-a4d2-4d8b-9148-e3be6c30e623}">
          <xlrd:rvb i="1091"/>
        </ext>
      </extLst>
    </bk>
    <bk>
      <extLst>
        <ext uri="{3e2802c4-a4d2-4d8b-9148-e3be6c30e623}">
          <xlrd:rvb i="1092"/>
        </ext>
      </extLst>
    </bk>
    <bk>
      <extLst>
        <ext uri="{3e2802c4-a4d2-4d8b-9148-e3be6c30e623}">
          <xlrd:rvb i="1093"/>
        </ext>
      </extLst>
    </bk>
    <bk>
      <extLst>
        <ext uri="{3e2802c4-a4d2-4d8b-9148-e3be6c30e623}">
          <xlrd:rvb i="1094"/>
        </ext>
      </extLst>
    </bk>
    <bk>
      <extLst>
        <ext uri="{3e2802c4-a4d2-4d8b-9148-e3be6c30e623}">
          <xlrd:rvb i="1095"/>
        </ext>
      </extLst>
    </bk>
    <bk>
      <extLst>
        <ext uri="{3e2802c4-a4d2-4d8b-9148-e3be6c30e623}">
          <xlrd:rvb i="1096"/>
        </ext>
      </extLst>
    </bk>
    <bk>
      <extLst>
        <ext uri="{3e2802c4-a4d2-4d8b-9148-e3be6c30e623}">
          <xlrd:rvb i="1097"/>
        </ext>
      </extLst>
    </bk>
    <bk>
      <extLst>
        <ext uri="{3e2802c4-a4d2-4d8b-9148-e3be6c30e623}">
          <xlrd:rvb i="1098"/>
        </ext>
      </extLst>
    </bk>
    <bk>
      <extLst>
        <ext uri="{3e2802c4-a4d2-4d8b-9148-e3be6c30e623}">
          <xlrd:rvb i="1099"/>
        </ext>
      </extLst>
    </bk>
    <bk>
      <extLst>
        <ext uri="{3e2802c4-a4d2-4d8b-9148-e3be6c30e623}">
          <xlrd:rvb i="1100"/>
        </ext>
      </extLst>
    </bk>
    <bk>
      <extLst>
        <ext uri="{3e2802c4-a4d2-4d8b-9148-e3be6c30e623}">
          <xlrd:rvb i="1101"/>
        </ext>
      </extLst>
    </bk>
    <bk>
      <extLst>
        <ext uri="{3e2802c4-a4d2-4d8b-9148-e3be6c30e623}">
          <xlrd:rvb i="1102"/>
        </ext>
      </extLst>
    </bk>
    <bk>
      <extLst>
        <ext uri="{3e2802c4-a4d2-4d8b-9148-e3be6c30e623}">
          <xlrd:rvb i="1103"/>
        </ext>
      </extLst>
    </bk>
    <bk>
      <extLst>
        <ext uri="{3e2802c4-a4d2-4d8b-9148-e3be6c30e623}">
          <xlrd:rvb i="1104"/>
        </ext>
      </extLst>
    </bk>
    <bk>
      <extLst>
        <ext uri="{3e2802c4-a4d2-4d8b-9148-e3be6c30e623}">
          <xlrd:rvb i="1105"/>
        </ext>
      </extLst>
    </bk>
    <bk>
      <extLst>
        <ext uri="{3e2802c4-a4d2-4d8b-9148-e3be6c30e623}">
          <xlrd:rvb i="1106"/>
        </ext>
      </extLst>
    </bk>
    <bk>
      <extLst>
        <ext uri="{3e2802c4-a4d2-4d8b-9148-e3be6c30e623}">
          <xlrd:rvb i="1107"/>
        </ext>
      </extLst>
    </bk>
    <bk>
      <extLst>
        <ext uri="{3e2802c4-a4d2-4d8b-9148-e3be6c30e623}">
          <xlrd:rvb i="1108"/>
        </ext>
      </extLst>
    </bk>
    <bk>
      <extLst>
        <ext uri="{3e2802c4-a4d2-4d8b-9148-e3be6c30e623}">
          <xlrd:rvb i="1109"/>
        </ext>
      </extLst>
    </bk>
    <bk>
      <extLst>
        <ext uri="{3e2802c4-a4d2-4d8b-9148-e3be6c30e623}">
          <xlrd:rvb i="1110"/>
        </ext>
      </extLst>
    </bk>
    <bk>
      <extLst>
        <ext uri="{3e2802c4-a4d2-4d8b-9148-e3be6c30e623}">
          <xlrd:rvb i="1111"/>
        </ext>
      </extLst>
    </bk>
    <bk>
      <extLst>
        <ext uri="{3e2802c4-a4d2-4d8b-9148-e3be6c30e623}">
          <xlrd:rvb i="1112"/>
        </ext>
      </extLst>
    </bk>
    <bk>
      <extLst>
        <ext uri="{3e2802c4-a4d2-4d8b-9148-e3be6c30e623}">
          <xlrd:rvb i="1113"/>
        </ext>
      </extLst>
    </bk>
    <bk>
      <extLst>
        <ext uri="{3e2802c4-a4d2-4d8b-9148-e3be6c30e623}">
          <xlrd:rvb i="1114"/>
        </ext>
      </extLst>
    </bk>
    <bk>
      <extLst>
        <ext uri="{3e2802c4-a4d2-4d8b-9148-e3be6c30e623}">
          <xlrd:rvb i="1115"/>
        </ext>
      </extLst>
    </bk>
    <bk>
      <extLst>
        <ext uri="{3e2802c4-a4d2-4d8b-9148-e3be6c30e623}">
          <xlrd:rvb i="1116"/>
        </ext>
      </extLst>
    </bk>
    <bk>
      <extLst>
        <ext uri="{3e2802c4-a4d2-4d8b-9148-e3be6c30e623}">
          <xlrd:rvb i="1117"/>
        </ext>
      </extLst>
    </bk>
    <bk>
      <extLst>
        <ext uri="{3e2802c4-a4d2-4d8b-9148-e3be6c30e623}">
          <xlrd:rvb i="1118"/>
        </ext>
      </extLst>
    </bk>
    <bk>
      <extLst>
        <ext uri="{3e2802c4-a4d2-4d8b-9148-e3be6c30e623}">
          <xlrd:rvb i="1119"/>
        </ext>
      </extLst>
    </bk>
    <bk>
      <extLst>
        <ext uri="{3e2802c4-a4d2-4d8b-9148-e3be6c30e623}">
          <xlrd:rvb i="1120"/>
        </ext>
      </extLst>
    </bk>
    <bk>
      <extLst>
        <ext uri="{3e2802c4-a4d2-4d8b-9148-e3be6c30e623}">
          <xlrd:rvb i="1121"/>
        </ext>
      </extLst>
    </bk>
    <bk>
      <extLst>
        <ext uri="{3e2802c4-a4d2-4d8b-9148-e3be6c30e623}">
          <xlrd:rvb i="1122"/>
        </ext>
      </extLst>
    </bk>
    <bk>
      <extLst>
        <ext uri="{3e2802c4-a4d2-4d8b-9148-e3be6c30e623}">
          <xlrd:rvb i="1123"/>
        </ext>
      </extLst>
    </bk>
    <bk>
      <extLst>
        <ext uri="{3e2802c4-a4d2-4d8b-9148-e3be6c30e623}">
          <xlrd:rvb i="1124"/>
        </ext>
      </extLst>
    </bk>
    <bk>
      <extLst>
        <ext uri="{3e2802c4-a4d2-4d8b-9148-e3be6c30e623}">
          <xlrd:rvb i="1125"/>
        </ext>
      </extLst>
    </bk>
    <bk>
      <extLst>
        <ext uri="{3e2802c4-a4d2-4d8b-9148-e3be6c30e623}">
          <xlrd:rvb i="1126"/>
        </ext>
      </extLst>
    </bk>
    <bk>
      <extLst>
        <ext uri="{3e2802c4-a4d2-4d8b-9148-e3be6c30e623}">
          <xlrd:rvb i="1127"/>
        </ext>
      </extLst>
    </bk>
    <bk>
      <extLst>
        <ext uri="{3e2802c4-a4d2-4d8b-9148-e3be6c30e623}">
          <xlrd:rvb i="1128"/>
        </ext>
      </extLst>
    </bk>
    <bk>
      <extLst>
        <ext uri="{3e2802c4-a4d2-4d8b-9148-e3be6c30e623}">
          <xlrd:rvb i="1129"/>
        </ext>
      </extLst>
    </bk>
    <bk>
      <extLst>
        <ext uri="{3e2802c4-a4d2-4d8b-9148-e3be6c30e623}">
          <xlrd:rvb i="1130"/>
        </ext>
      </extLst>
    </bk>
    <bk>
      <extLst>
        <ext uri="{3e2802c4-a4d2-4d8b-9148-e3be6c30e623}">
          <xlrd:rvb i="1131"/>
        </ext>
      </extLst>
    </bk>
    <bk>
      <extLst>
        <ext uri="{3e2802c4-a4d2-4d8b-9148-e3be6c30e623}">
          <xlrd:rvb i="1132"/>
        </ext>
      </extLst>
    </bk>
    <bk>
      <extLst>
        <ext uri="{3e2802c4-a4d2-4d8b-9148-e3be6c30e623}">
          <xlrd:rvb i="1133"/>
        </ext>
      </extLst>
    </bk>
    <bk>
      <extLst>
        <ext uri="{3e2802c4-a4d2-4d8b-9148-e3be6c30e623}">
          <xlrd:rvb i="1134"/>
        </ext>
      </extLst>
    </bk>
    <bk>
      <extLst>
        <ext uri="{3e2802c4-a4d2-4d8b-9148-e3be6c30e623}">
          <xlrd:rvb i="1135"/>
        </ext>
      </extLst>
    </bk>
    <bk>
      <extLst>
        <ext uri="{3e2802c4-a4d2-4d8b-9148-e3be6c30e623}">
          <xlrd:rvb i="1136"/>
        </ext>
      </extLst>
    </bk>
    <bk>
      <extLst>
        <ext uri="{3e2802c4-a4d2-4d8b-9148-e3be6c30e623}">
          <xlrd:rvb i="1137"/>
        </ext>
      </extLst>
    </bk>
    <bk>
      <extLst>
        <ext uri="{3e2802c4-a4d2-4d8b-9148-e3be6c30e623}">
          <xlrd:rvb i="1138"/>
        </ext>
      </extLst>
    </bk>
    <bk>
      <extLst>
        <ext uri="{3e2802c4-a4d2-4d8b-9148-e3be6c30e623}">
          <xlrd:rvb i="1139"/>
        </ext>
      </extLst>
    </bk>
    <bk>
      <extLst>
        <ext uri="{3e2802c4-a4d2-4d8b-9148-e3be6c30e623}">
          <xlrd:rvb i="1140"/>
        </ext>
      </extLst>
    </bk>
    <bk>
      <extLst>
        <ext uri="{3e2802c4-a4d2-4d8b-9148-e3be6c30e623}">
          <xlrd:rvb i="1141"/>
        </ext>
      </extLst>
    </bk>
    <bk>
      <extLst>
        <ext uri="{3e2802c4-a4d2-4d8b-9148-e3be6c30e623}">
          <xlrd:rvb i="1142"/>
        </ext>
      </extLst>
    </bk>
    <bk>
      <extLst>
        <ext uri="{3e2802c4-a4d2-4d8b-9148-e3be6c30e623}">
          <xlrd:rvb i="1143"/>
        </ext>
      </extLst>
    </bk>
    <bk>
      <extLst>
        <ext uri="{3e2802c4-a4d2-4d8b-9148-e3be6c30e623}">
          <xlrd:rvb i="1144"/>
        </ext>
      </extLst>
    </bk>
    <bk>
      <extLst>
        <ext uri="{3e2802c4-a4d2-4d8b-9148-e3be6c30e623}">
          <xlrd:rvb i="1145"/>
        </ext>
      </extLst>
    </bk>
    <bk>
      <extLst>
        <ext uri="{3e2802c4-a4d2-4d8b-9148-e3be6c30e623}">
          <xlrd:rvb i="1146"/>
        </ext>
      </extLst>
    </bk>
    <bk>
      <extLst>
        <ext uri="{3e2802c4-a4d2-4d8b-9148-e3be6c30e623}">
          <xlrd:rvb i="1147"/>
        </ext>
      </extLst>
    </bk>
    <bk>
      <extLst>
        <ext uri="{3e2802c4-a4d2-4d8b-9148-e3be6c30e623}">
          <xlrd:rvb i="1148"/>
        </ext>
      </extLst>
    </bk>
    <bk>
      <extLst>
        <ext uri="{3e2802c4-a4d2-4d8b-9148-e3be6c30e623}">
          <xlrd:rvb i="1149"/>
        </ext>
      </extLst>
    </bk>
    <bk>
      <extLst>
        <ext uri="{3e2802c4-a4d2-4d8b-9148-e3be6c30e623}">
          <xlrd:rvb i="1150"/>
        </ext>
      </extLst>
    </bk>
    <bk>
      <extLst>
        <ext uri="{3e2802c4-a4d2-4d8b-9148-e3be6c30e623}">
          <xlrd:rvb i="1151"/>
        </ext>
      </extLst>
    </bk>
    <bk>
      <extLst>
        <ext uri="{3e2802c4-a4d2-4d8b-9148-e3be6c30e623}">
          <xlrd:rvb i="1152"/>
        </ext>
      </extLst>
    </bk>
    <bk>
      <extLst>
        <ext uri="{3e2802c4-a4d2-4d8b-9148-e3be6c30e623}">
          <xlrd:rvb i="1153"/>
        </ext>
      </extLst>
    </bk>
    <bk>
      <extLst>
        <ext uri="{3e2802c4-a4d2-4d8b-9148-e3be6c30e623}">
          <xlrd:rvb i="1154"/>
        </ext>
      </extLst>
    </bk>
    <bk>
      <extLst>
        <ext uri="{3e2802c4-a4d2-4d8b-9148-e3be6c30e623}">
          <xlrd:rvb i="1155"/>
        </ext>
      </extLst>
    </bk>
    <bk>
      <extLst>
        <ext uri="{3e2802c4-a4d2-4d8b-9148-e3be6c30e623}">
          <xlrd:rvb i="1156"/>
        </ext>
      </extLst>
    </bk>
    <bk>
      <extLst>
        <ext uri="{3e2802c4-a4d2-4d8b-9148-e3be6c30e623}">
          <xlrd:rvb i="1157"/>
        </ext>
      </extLst>
    </bk>
    <bk>
      <extLst>
        <ext uri="{3e2802c4-a4d2-4d8b-9148-e3be6c30e623}">
          <xlrd:rvb i="1158"/>
        </ext>
      </extLst>
    </bk>
    <bk>
      <extLst>
        <ext uri="{3e2802c4-a4d2-4d8b-9148-e3be6c30e623}">
          <xlrd:rvb i="1159"/>
        </ext>
      </extLst>
    </bk>
    <bk>
      <extLst>
        <ext uri="{3e2802c4-a4d2-4d8b-9148-e3be6c30e623}">
          <xlrd:rvb i="1160"/>
        </ext>
      </extLst>
    </bk>
    <bk>
      <extLst>
        <ext uri="{3e2802c4-a4d2-4d8b-9148-e3be6c30e623}">
          <xlrd:rvb i="1161"/>
        </ext>
      </extLst>
    </bk>
    <bk>
      <extLst>
        <ext uri="{3e2802c4-a4d2-4d8b-9148-e3be6c30e623}">
          <xlrd:rvb i="1162"/>
        </ext>
      </extLst>
    </bk>
    <bk>
      <extLst>
        <ext uri="{3e2802c4-a4d2-4d8b-9148-e3be6c30e623}">
          <xlrd:rvb i="1163"/>
        </ext>
      </extLst>
    </bk>
    <bk>
      <extLst>
        <ext uri="{3e2802c4-a4d2-4d8b-9148-e3be6c30e623}">
          <xlrd:rvb i="1164"/>
        </ext>
      </extLst>
    </bk>
    <bk>
      <extLst>
        <ext uri="{3e2802c4-a4d2-4d8b-9148-e3be6c30e623}">
          <xlrd:rvb i="1165"/>
        </ext>
      </extLst>
    </bk>
    <bk>
      <extLst>
        <ext uri="{3e2802c4-a4d2-4d8b-9148-e3be6c30e623}">
          <xlrd:rvb i="1166"/>
        </ext>
      </extLst>
    </bk>
    <bk>
      <extLst>
        <ext uri="{3e2802c4-a4d2-4d8b-9148-e3be6c30e623}">
          <xlrd:rvb i="1167"/>
        </ext>
      </extLst>
    </bk>
    <bk>
      <extLst>
        <ext uri="{3e2802c4-a4d2-4d8b-9148-e3be6c30e623}">
          <xlrd:rvb i="1168"/>
        </ext>
      </extLst>
    </bk>
    <bk>
      <extLst>
        <ext uri="{3e2802c4-a4d2-4d8b-9148-e3be6c30e623}">
          <xlrd:rvb i="1169"/>
        </ext>
      </extLst>
    </bk>
    <bk>
      <extLst>
        <ext uri="{3e2802c4-a4d2-4d8b-9148-e3be6c30e623}">
          <xlrd:rvb i="1170"/>
        </ext>
      </extLst>
    </bk>
    <bk>
      <extLst>
        <ext uri="{3e2802c4-a4d2-4d8b-9148-e3be6c30e623}">
          <xlrd:rvb i="1171"/>
        </ext>
      </extLst>
    </bk>
    <bk>
      <extLst>
        <ext uri="{3e2802c4-a4d2-4d8b-9148-e3be6c30e623}">
          <xlrd:rvb i="1172"/>
        </ext>
      </extLst>
    </bk>
    <bk>
      <extLst>
        <ext uri="{3e2802c4-a4d2-4d8b-9148-e3be6c30e623}">
          <xlrd:rvb i="1173"/>
        </ext>
      </extLst>
    </bk>
    <bk>
      <extLst>
        <ext uri="{3e2802c4-a4d2-4d8b-9148-e3be6c30e623}">
          <xlrd:rvb i="1174"/>
        </ext>
      </extLst>
    </bk>
    <bk>
      <extLst>
        <ext uri="{3e2802c4-a4d2-4d8b-9148-e3be6c30e623}">
          <xlrd:rvb i="1175"/>
        </ext>
      </extLst>
    </bk>
    <bk>
      <extLst>
        <ext uri="{3e2802c4-a4d2-4d8b-9148-e3be6c30e623}">
          <xlrd:rvb i="1176"/>
        </ext>
      </extLst>
    </bk>
    <bk>
      <extLst>
        <ext uri="{3e2802c4-a4d2-4d8b-9148-e3be6c30e623}">
          <xlrd:rvb i="1177"/>
        </ext>
      </extLst>
    </bk>
    <bk>
      <extLst>
        <ext uri="{3e2802c4-a4d2-4d8b-9148-e3be6c30e623}">
          <xlrd:rvb i="1178"/>
        </ext>
      </extLst>
    </bk>
    <bk>
      <extLst>
        <ext uri="{3e2802c4-a4d2-4d8b-9148-e3be6c30e623}">
          <xlrd:rvb i="1179"/>
        </ext>
      </extLst>
    </bk>
    <bk>
      <extLst>
        <ext uri="{3e2802c4-a4d2-4d8b-9148-e3be6c30e623}">
          <xlrd:rvb i="1180"/>
        </ext>
      </extLst>
    </bk>
    <bk>
      <extLst>
        <ext uri="{3e2802c4-a4d2-4d8b-9148-e3be6c30e623}">
          <xlrd:rvb i="1181"/>
        </ext>
      </extLst>
    </bk>
    <bk>
      <extLst>
        <ext uri="{3e2802c4-a4d2-4d8b-9148-e3be6c30e623}">
          <xlrd:rvb i="1182"/>
        </ext>
      </extLst>
    </bk>
    <bk>
      <extLst>
        <ext uri="{3e2802c4-a4d2-4d8b-9148-e3be6c30e623}">
          <xlrd:rvb i="1183"/>
        </ext>
      </extLst>
    </bk>
    <bk>
      <extLst>
        <ext uri="{3e2802c4-a4d2-4d8b-9148-e3be6c30e623}">
          <xlrd:rvb i="1184"/>
        </ext>
      </extLst>
    </bk>
    <bk>
      <extLst>
        <ext uri="{3e2802c4-a4d2-4d8b-9148-e3be6c30e623}">
          <xlrd:rvb i="1185"/>
        </ext>
      </extLst>
    </bk>
    <bk>
      <extLst>
        <ext uri="{3e2802c4-a4d2-4d8b-9148-e3be6c30e623}">
          <xlrd:rvb i="1186"/>
        </ext>
      </extLst>
    </bk>
    <bk>
      <extLst>
        <ext uri="{3e2802c4-a4d2-4d8b-9148-e3be6c30e623}">
          <xlrd:rvb i="1187"/>
        </ext>
      </extLst>
    </bk>
    <bk>
      <extLst>
        <ext uri="{3e2802c4-a4d2-4d8b-9148-e3be6c30e623}">
          <xlrd:rvb i="1188"/>
        </ext>
      </extLst>
    </bk>
    <bk>
      <extLst>
        <ext uri="{3e2802c4-a4d2-4d8b-9148-e3be6c30e623}">
          <xlrd:rvb i="1189"/>
        </ext>
      </extLst>
    </bk>
    <bk>
      <extLst>
        <ext uri="{3e2802c4-a4d2-4d8b-9148-e3be6c30e623}">
          <xlrd:rvb i="1190"/>
        </ext>
      </extLst>
    </bk>
    <bk>
      <extLst>
        <ext uri="{3e2802c4-a4d2-4d8b-9148-e3be6c30e623}">
          <xlrd:rvb i="1191"/>
        </ext>
      </extLst>
    </bk>
    <bk>
      <extLst>
        <ext uri="{3e2802c4-a4d2-4d8b-9148-e3be6c30e623}">
          <xlrd:rvb i="1192"/>
        </ext>
      </extLst>
    </bk>
    <bk>
      <extLst>
        <ext uri="{3e2802c4-a4d2-4d8b-9148-e3be6c30e623}">
          <xlrd:rvb i="1193"/>
        </ext>
      </extLst>
    </bk>
    <bk>
      <extLst>
        <ext uri="{3e2802c4-a4d2-4d8b-9148-e3be6c30e623}">
          <xlrd:rvb i="1194"/>
        </ext>
      </extLst>
    </bk>
    <bk>
      <extLst>
        <ext uri="{3e2802c4-a4d2-4d8b-9148-e3be6c30e623}">
          <xlrd:rvb i="1195"/>
        </ext>
      </extLst>
    </bk>
    <bk>
      <extLst>
        <ext uri="{3e2802c4-a4d2-4d8b-9148-e3be6c30e623}">
          <xlrd:rvb i="1196"/>
        </ext>
      </extLst>
    </bk>
    <bk>
      <extLst>
        <ext uri="{3e2802c4-a4d2-4d8b-9148-e3be6c30e623}">
          <xlrd:rvb i="1197"/>
        </ext>
      </extLst>
    </bk>
    <bk>
      <extLst>
        <ext uri="{3e2802c4-a4d2-4d8b-9148-e3be6c30e623}">
          <xlrd:rvb i="1198"/>
        </ext>
      </extLst>
    </bk>
    <bk>
      <extLst>
        <ext uri="{3e2802c4-a4d2-4d8b-9148-e3be6c30e623}">
          <xlrd:rvb i="1199"/>
        </ext>
      </extLst>
    </bk>
    <bk>
      <extLst>
        <ext uri="{3e2802c4-a4d2-4d8b-9148-e3be6c30e623}">
          <xlrd:rvb i="1200"/>
        </ext>
      </extLst>
    </bk>
    <bk>
      <extLst>
        <ext uri="{3e2802c4-a4d2-4d8b-9148-e3be6c30e623}">
          <xlrd:rvb i="1201"/>
        </ext>
      </extLst>
    </bk>
    <bk>
      <extLst>
        <ext uri="{3e2802c4-a4d2-4d8b-9148-e3be6c30e623}">
          <xlrd:rvb i="1202"/>
        </ext>
      </extLst>
    </bk>
    <bk>
      <extLst>
        <ext uri="{3e2802c4-a4d2-4d8b-9148-e3be6c30e623}">
          <xlrd:rvb i="1203"/>
        </ext>
      </extLst>
    </bk>
    <bk>
      <extLst>
        <ext uri="{3e2802c4-a4d2-4d8b-9148-e3be6c30e623}">
          <xlrd:rvb i="1204"/>
        </ext>
      </extLst>
    </bk>
    <bk>
      <extLst>
        <ext uri="{3e2802c4-a4d2-4d8b-9148-e3be6c30e623}">
          <xlrd:rvb i="1205"/>
        </ext>
      </extLst>
    </bk>
    <bk>
      <extLst>
        <ext uri="{3e2802c4-a4d2-4d8b-9148-e3be6c30e623}">
          <xlrd:rvb i="1206"/>
        </ext>
      </extLst>
    </bk>
    <bk>
      <extLst>
        <ext uri="{3e2802c4-a4d2-4d8b-9148-e3be6c30e623}">
          <xlrd:rvb i="1207"/>
        </ext>
      </extLst>
    </bk>
    <bk>
      <extLst>
        <ext uri="{3e2802c4-a4d2-4d8b-9148-e3be6c30e623}">
          <xlrd:rvb i="1208"/>
        </ext>
      </extLst>
    </bk>
    <bk>
      <extLst>
        <ext uri="{3e2802c4-a4d2-4d8b-9148-e3be6c30e623}">
          <xlrd:rvb i="1209"/>
        </ext>
      </extLst>
    </bk>
    <bk>
      <extLst>
        <ext uri="{3e2802c4-a4d2-4d8b-9148-e3be6c30e623}">
          <xlrd:rvb i="1210"/>
        </ext>
      </extLst>
    </bk>
    <bk>
      <extLst>
        <ext uri="{3e2802c4-a4d2-4d8b-9148-e3be6c30e623}">
          <xlrd:rvb i="1211"/>
        </ext>
      </extLst>
    </bk>
    <bk>
      <extLst>
        <ext uri="{3e2802c4-a4d2-4d8b-9148-e3be6c30e623}">
          <xlrd:rvb i="1212"/>
        </ext>
      </extLst>
    </bk>
    <bk>
      <extLst>
        <ext uri="{3e2802c4-a4d2-4d8b-9148-e3be6c30e623}">
          <xlrd:rvb i="1213"/>
        </ext>
      </extLst>
    </bk>
    <bk>
      <extLst>
        <ext uri="{3e2802c4-a4d2-4d8b-9148-e3be6c30e623}">
          <xlrd:rvb i="1214"/>
        </ext>
      </extLst>
    </bk>
    <bk>
      <extLst>
        <ext uri="{3e2802c4-a4d2-4d8b-9148-e3be6c30e623}">
          <xlrd:rvb i="1215"/>
        </ext>
      </extLst>
    </bk>
    <bk>
      <extLst>
        <ext uri="{3e2802c4-a4d2-4d8b-9148-e3be6c30e623}">
          <xlrd:rvb i="1216"/>
        </ext>
      </extLst>
    </bk>
    <bk>
      <extLst>
        <ext uri="{3e2802c4-a4d2-4d8b-9148-e3be6c30e623}">
          <xlrd:rvb i="1217"/>
        </ext>
      </extLst>
    </bk>
    <bk>
      <extLst>
        <ext uri="{3e2802c4-a4d2-4d8b-9148-e3be6c30e623}">
          <xlrd:rvb i="1218"/>
        </ext>
      </extLst>
    </bk>
    <bk>
      <extLst>
        <ext uri="{3e2802c4-a4d2-4d8b-9148-e3be6c30e623}">
          <xlrd:rvb i="1221"/>
        </ext>
      </extLst>
    </bk>
    <bk>
      <extLst>
        <ext uri="{3e2802c4-a4d2-4d8b-9148-e3be6c30e623}">
          <xlrd:rvb i="1222"/>
        </ext>
      </extLst>
    </bk>
    <bk>
      <extLst>
        <ext uri="{3e2802c4-a4d2-4d8b-9148-e3be6c30e623}">
          <xlrd:rvb i="1223"/>
        </ext>
      </extLst>
    </bk>
    <bk>
      <extLst>
        <ext uri="{3e2802c4-a4d2-4d8b-9148-e3be6c30e623}">
          <xlrd:rvb i="1224"/>
        </ext>
      </extLst>
    </bk>
    <bk>
      <extLst>
        <ext uri="{3e2802c4-a4d2-4d8b-9148-e3be6c30e623}">
          <xlrd:rvb i="1225"/>
        </ext>
      </extLst>
    </bk>
    <bk>
      <extLst>
        <ext uri="{3e2802c4-a4d2-4d8b-9148-e3be6c30e623}">
          <xlrd:rvb i="1226"/>
        </ext>
      </extLst>
    </bk>
    <bk>
      <extLst>
        <ext uri="{3e2802c4-a4d2-4d8b-9148-e3be6c30e623}">
          <xlrd:rvb i="1227"/>
        </ext>
      </extLst>
    </bk>
    <bk>
      <extLst>
        <ext uri="{3e2802c4-a4d2-4d8b-9148-e3be6c30e623}">
          <xlrd:rvb i="1228"/>
        </ext>
      </extLst>
    </bk>
    <bk>
      <extLst>
        <ext uri="{3e2802c4-a4d2-4d8b-9148-e3be6c30e623}">
          <xlrd:rvb i="1229"/>
        </ext>
      </extLst>
    </bk>
    <bk>
      <extLst>
        <ext uri="{3e2802c4-a4d2-4d8b-9148-e3be6c30e623}">
          <xlrd:rvb i="1230"/>
        </ext>
      </extLst>
    </bk>
    <bk>
      <extLst>
        <ext uri="{3e2802c4-a4d2-4d8b-9148-e3be6c30e623}">
          <xlrd:rvb i="1231"/>
        </ext>
      </extLst>
    </bk>
    <bk>
      <extLst>
        <ext uri="{3e2802c4-a4d2-4d8b-9148-e3be6c30e623}">
          <xlrd:rvb i="1232"/>
        </ext>
      </extLst>
    </bk>
    <bk>
      <extLst>
        <ext uri="{3e2802c4-a4d2-4d8b-9148-e3be6c30e623}">
          <xlrd:rvb i="1233"/>
        </ext>
      </extLst>
    </bk>
    <bk>
      <extLst>
        <ext uri="{3e2802c4-a4d2-4d8b-9148-e3be6c30e623}">
          <xlrd:rvb i="1234"/>
        </ext>
      </extLst>
    </bk>
    <bk>
      <extLst>
        <ext uri="{3e2802c4-a4d2-4d8b-9148-e3be6c30e623}">
          <xlrd:rvb i="1235"/>
        </ext>
      </extLst>
    </bk>
    <bk>
      <extLst>
        <ext uri="{3e2802c4-a4d2-4d8b-9148-e3be6c30e623}">
          <xlrd:rvb i="1236"/>
        </ext>
      </extLst>
    </bk>
    <bk>
      <extLst>
        <ext uri="{3e2802c4-a4d2-4d8b-9148-e3be6c30e623}">
          <xlrd:rvb i="1237"/>
        </ext>
      </extLst>
    </bk>
    <bk>
      <extLst>
        <ext uri="{3e2802c4-a4d2-4d8b-9148-e3be6c30e623}">
          <xlrd:rvb i="1238"/>
        </ext>
      </extLst>
    </bk>
    <bk>
      <extLst>
        <ext uri="{3e2802c4-a4d2-4d8b-9148-e3be6c30e623}">
          <xlrd:rvb i="1239"/>
        </ext>
      </extLst>
    </bk>
    <bk>
      <extLst>
        <ext uri="{3e2802c4-a4d2-4d8b-9148-e3be6c30e623}">
          <xlrd:rvb i="1240"/>
        </ext>
      </extLst>
    </bk>
    <bk>
      <extLst>
        <ext uri="{3e2802c4-a4d2-4d8b-9148-e3be6c30e623}">
          <xlrd:rvb i="1241"/>
        </ext>
      </extLst>
    </bk>
    <bk>
      <extLst>
        <ext uri="{3e2802c4-a4d2-4d8b-9148-e3be6c30e623}">
          <xlrd:rvb i="1242"/>
        </ext>
      </extLst>
    </bk>
    <bk>
      <extLst>
        <ext uri="{3e2802c4-a4d2-4d8b-9148-e3be6c30e623}">
          <xlrd:rvb i="1243"/>
        </ext>
      </extLst>
    </bk>
    <bk>
      <extLst>
        <ext uri="{3e2802c4-a4d2-4d8b-9148-e3be6c30e623}">
          <xlrd:rvb i="1244"/>
        </ext>
      </extLst>
    </bk>
    <bk>
      <extLst>
        <ext uri="{3e2802c4-a4d2-4d8b-9148-e3be6c30e623}">
          <xlrd:rvb i="1245"/>
        </ext>
      </extLst>
    </bk>
    <bk>
      <extLst>
        <ext uri="{3e2802c4-a4d2-4d8b-9148-e3be6c30e623}">
          <xlrd:rvb i="1246"/>
        </ext>
      </extLst>
    </bk>
    <bk>
      <extLst>
        <ext uri="{3e2802c4-a4d2-4d8b-9148-e3be6c30e623}">
          <xlrd:rvb i="1247"/>
        </ext>
      </extLst>
    </bk>
    <bk>
      <extLst>
        <ext uri="{3e2802c4-a4d2-4d8b-9148-e3be6c30e623}">
          <xlrd:rvb i="1248"/>
        </ext>
      </extLst>
    </bk>
    <bk>
      <extLst>
        <ext uri="{3e2802c4-a4d2-4d8b-9148-e3be6c30e623}">
          <xlrd:rvb i="1249"/>
        </ext>
      </extLst>
    </bk>
    <bk>
      <extLst>
        <ext uri="{3e2802c4-a4d2-4d8b-9148-e3be6c30e623}">
          <xlrd:rvb i="1250"/>
        </ext>
      </extLst>
    </bk>
    <bk>
      <extLst>
        <ext uri="{3e2802c4-a4d2-4d8b-9148-e3be6c30e623}">
          <xlrd:rvb i="1251"/>
        </ext>
      </extLst>
    </bk>
    <bk>
      <extLst>
        <ext uri="{3e2802c4-a4d2-4d8b-9148-e3be6c30e623}">
          <xlrd:rvb i="1252"/>
        </ext>
      </extLst>
    </bk>
    <bk>
      <extLst>
        <ext uri="{3e2802c4-a4d2-4d8b-9148-e3be6c30e623}">
          <xlrd:rvb i="1253"/>
        </ext>
      </extLst>
    </bk>
    <bk>
      <extLst>
        <ext uri="{3e2802c4-a4d2-4d8b-9148-e3be6c30e623}">
          <xlrd:rvb i="1254"/>
        </ext>
      </extLst>
    </bk>
    <bk>
      <extLst>
        <ext uri="{3e2802c4-a4d2-4d8b-9148-e3be6c30e623}">
          <xlrd:rvb i="1255"/>
        </ext>
      </extLst>
    </bk>
    <bk>
      <extLst>
        <ext uri="{3e2802c4-a4d2-4d8b-9148-e3be6c30e623}">
          <xlrd:rvb i="1256"/>
        </ext>
      </extLst>
    </bk>
    <bk>
      <extLst>
        <ext uri="{3e2802c4-a4d2-4d8b-9148-e3be6c30e623}">
          <xlrd:rvb i="1257"/>
        </ext>
      </extLst>
    </bk>
    <bk>
      <extLst>
        <ext uri="{3e2802c4-a4d2-4d8b-9148-e3be6c30e623}">
          <xlrd:rvb i="1258"/>
        </ext>
      </extLst>
    </bk>
    <bk>
      <extLst>
        <ext uri="{3e2802c4-a4d2-4d8b-9148-e3be6c30e623}">
          <xlrd:rvb i="1259"/>
        </ext>
      </extLst>
    </bk>
    <bk>
      <extLst>
        <ext uri="{3e2802c4-a4d2-4d8b-9148-e3be6c30e623}">
          <xlrd:rvb i="1260"/>
        </ext>
      </extLst>
    </bk>
    <bk>
      <extLst>
        <ext uri="{3e2802c4-a4d2-4d8b-9148-e3be6c30e623}">
          <xlrd:rvb i="1261"/>
        </ext>
      </extLst>
    </bk>
    <bk>
      <extLst>
        <ext uri="{3e2802c4-a4d2-4d8b-9148-e3be6c30e623}">
          <xlrd:rvb i="1262"/>
        </ext>
      </extLst>
    </bk>
    <bk>
      <extLst>
        <ext uri="{3e2802c4-a4d2-4d8b-9148-e3be6c30e623}">
          <xlrd:rvb i="1263"/>
        </ext>
      </extLst>
    </bk>
    <bk>
      <extLst>
        <ext uri="{3e2802c4-a4d2-4d8b-9148-e3be6c30e623}">
          <xlrd:rvb i="1264"/>
        </ext>
      </extLst>
    </bk>
    <bk>
      <extLst>
        <ext uri="{3e2802c4-a4d2-4d8b-9148-e3be6c30e623}">
          <xlrd:rvb i="1265"/>
        </ext>
      </extLst>
    </bk>
    <bk>
      <extLst>
        <ext uri="{3e2802c4-a4d2-4d8b-9148-e3be6c30e623}">
          <xlrd:rvb i="1266"/>
        </ext>
      </extLst>
    </bk>
    <bk>
      <extLst>
        <ext uri="{3e2802c4-a4d2-4d8b-9148-e3be6c30e623}">
          <xlrd:rvb i="1267"/>
        </ext>
      </extLst>
    </bk>
    <bk>
      <extLst>
        <ext uri="{3e2802c4-a4d2-4d8b-9148-e3be6c30e623}">
          <xlrd:rvb i="1268"/>
        </ext>
      </extLst>
    </bk>
    <bk>
      <extLst>
        <ext uri="{3e2802c4-a4d2-4d8b-9148-e3be6c30e623}">
          <xlrd:rvb i="1269"/>
        </ext>
      </extLst>
    </bk>
    <bk>
      <extLst>
        <ext uri="{3e2802c4-a4d2-4d8b-9148-e3be6c30e623}">
          <xlrd:rvb i="1270"/>
        </ext>
      </extLst>
    </bk>
    <bk>
      <extLst>
        <ext uri="{3e2802c4-a4d2-4d8b-9148-e3be6c30e623}">
          <xlrd:rvb i="1271"/>
        </ext>
      </extLst>
    </bk>
    <bk>
      <extLst>
        <ext uri="{3e2802c4-a4d2-4d8b-9148-e3be6c30e623}">
          <xlrd:rvb i="1272"/>
        </ext>
      </extLst>
    </bk>
    <bk>
      <extLst>
        <ext uri="{3e2802c4-a4d2-4d8b-9148-e3be6c30e623}">
          <xlrd:rvb i="1273"/>
        </ext>
      </extLst>
    </bk>
    <bk>
      <extLst>
        <ext uri="{3e2802c4-a4d2-4d8b-9148-e3be6c30e623}">
          <xlrd:rvb i="1274"/>
        </ext>
      </extLst>
    </bk>
    <bk>
      <extLst>
        <ext uri="{3e2802c4-a4d2-4d8b-9148-e3be6c30e623}">
          <xlrd:rvb i="1275"/>
        </ext>
      </extLst>
    </bk>
    <bk>
      <extLst>
        <ext uri="{3e2802c4-a4d2-4d8b-9148-e3be6c30e623}">
          <xlrd:rvb i="1276"/>
        </ext>
      </extLst>
    </bk>
    <bk>
      <extLst>
        <ext uri="{3e2802c4-a4d2-4d8b-9148-e3be6c30e623}">
          <xlrd:rvb i="1277"/>
        </ext>
      </extLst>
    </bk>
    <bk>
      <extLst>
        <ext uri="{3e2802c4-a4d2-4d8b-9148-e3be6c30e623}">
          <xlrd:rvb i="1278"/>
        </ext>
      </extLst>
    </bk>
    <bk>
      <extLst>
        <ext uri="{3e2802c4-a4d2-4d8b-9148-e3be6c30e623}">
          <xlrd:rvb i="1279"/>
        </ext>
      </extLst>
    </bk>
    <bk>
      <extLst>
        <ext uri="{3e2802c4-a4d2-4d8b-9148-e3be6c30e623}">
          <xlrd:rvb i="1280"/>
        </ext>
      </extLst>
    </bk>
    <bk>
      <extLst>
        <ext uri="{3e2802c4-a4d2-4d8b-9148-e3be6c30e623}">
          <xlrd:rvb i="1281"/>
        </ext>
      </extLst>
    </bk>
    <bk>
      <extLst>
        <ext uri="{3e2802c4-a4d2-4d8b-9148-e3be6c30e623}">
          <xlrd:rvb i="1282"/>
        </ext>
      </extLst>
    </bk>
    <bk>
      <extLst>
        <ext uri="{3e2802c4-a4d2-4d8b-9148-e3be6c30e623}">
          <xlrd:rvb i="1283"/>
        </ext>
      </extLst>
    </bk>
    <bk>
      <extLst>
        <ext uri="{3e2802c4-a4d2-4d8b-9148-e3be6c30e623}">
          <xlrd:rvb i="1284"/>
        </ext>
      </extLst>
    </bk>
    <bk>
      <extLst>
        <ext uri="{3e2802c4-a4d2-4d8b-9148-e3be6c30e623}">
          <xlrd:rvb i="1285"/>
        </ext>
      </extLst>
    </bk>
    <bk>
      <extLst>
        <ext uri="{3e2802c4-a4d2-4d8b-9148-e3be6c30e623}">
          <xlrd:rvb i="1286"/>
        </ext>
      </extLst>
    </bk>
    <bk>
      <extLst>
        <ext uri="{3e2802c4-a4d2-4d8b-9148-e3be6c30e623}">
          <xlrd:rvb i="1287"/>
        </ext>
      </extLst>
    </bk>
    <bk>
      <extLst>
        <ext uri="{3e2802c4-a4d2-4d8b-9148-e3be6c30e623}">
          <xlrd:rvb i="1288"/>
        </ext>
      </extLst>
    </bk>
    <bk>
      <extLst>
        <ext uri="{3e2802c4-a4d2-4d8b-9148-e3be6c30e623}">
          <xlrd:rvb i="1289"/>
        </ext>
      </extLst>
    </bk>
    <bk>
      <extLst>
        <ext uri="{3e2802c4-a4d2-4d8b-9148-e3be6c30e623}">
          <xlrd:rvb i="1290"/>
        </ext>
      </extLst>
    </bk>
    <bk>
      <extLst>
        <ext uri="{3e2802c4-a4d2-4d8b-9148-e3be6c30e623}">
          <xlrd:rvb i="1291"/>
        </ext>
      </extLst>
    </bk>
    <bk>
      <extLst>
        <ext uri="{3e2802c4-a4d2-4d8b-9148-e3be6c30e623}">
          <xlrd:rvb i="1292"/>
        </ext>
      </extLst>
    </bk>
    <bk>
      <extLst>
        <ext uri="{3e2802c4-a4d2-4d8b-9148-e3be6c30e623}">
          <xlrd:rvb i="1293"/>
        </ext>
      </extLst>
    </bk>
    <bk>
      <extLst>
        <ext uri="{3e2802c4-a4d2-4d8b-9148-e3be6c30e623}">
          <xlrd:rvb i="1294"/>
        </ext>
      </extLst>
    </bk>
    <bk>
      <extLst>
        <ext uri="{3e2802c4-a4d2-4d8b-9148-e3be6c30e623}">
          <xlrd:rvb i="1295"/>
        </ext>
      </extLst>
    </bk>
    <bk>
      <extLst>
        <ext uri="{3e2802c4-a4d2-4d8b-9148-e3be6c30e623}">
          <xlrd:rvb i="1296"/>
        </ext>
      </extLst>
    </bk>
    <bk>
      <extLst>
        <ext uri="{3e2802c4-a4d2-4d8b-9148-e3be6c30e623}">
          <xlrd:rvb i="1297"/>
        </ext>
      </extLst>
    </bk>
    <bk>
      <extLst>
        <ext uri="{3e2802c4-a4d2-4d8b-9148-e3be6c30e623}">
          <xlrd:rvb i="1298"/>
        </ext>
      </extLst>
    </bk>
    <bk>
      <extLst>
        <ext uri="{3e2802c4-a4d2-4d8b-9148-e3be6c30e623}">
          <xlrd:rvb i="1299"/>
        </ext>
      </extLst>
    </bk>
    <bk>
      <extLst>
        <ext uri="{3e2802c4-a4d2-4d8b-9148-e3be6c30e623}">
          <xlrd:rvb i="1300"/>
        </ext>
      </extLst>
    </bk>
    <bk>
      <extLst>
        <ext uri="{3e2802c4-a4d2-4d8b-9148-e3be6c30e623}">
          <xlrd:rvb i="1301"/>
        </ext>
      </extLst>
    </bk>
    <bk>
      <extLst>
        <ext uri="{3e2802c4-a4d2-4d8b-9148-e3be6c30e623}">
          <xlrd:rvb i="1302"/>
        </ext>
      </extLst>
    </bk>
    <bk>
      <extLst>
        <ext uri="{3e2802c4-a4d2-4d8b-9148-e3be6c30e623}">
          <xlrd:rvb i="1303"/>
        </ext>
      </extLst>
    </bk>
    <bk>
      <extLst>
        <ext uri="{3e2802c4-a4d2-4d8b-9148-e3be6c30e623}">
          <xlrd:rvb i="1304"/>
        </ext>
      </extLst>
    </bk>
    <bk>
      <extLst>
        <ext uri="{3e2802c4-a4d2-4d8b-9148-e3be6c30e623}">
          <xlrd:rvb i="1305"/>
        </ext>
      </extLst>
    </bk>
    <bk>
      <extLst>
        <ext uri="{3e2802c4-a4d2-4d8b-9148-e3be6c30e623}">
          <xlrd:rvb i="1306"/>
        </ext>
      </extLst>
    </bk>
    <bk>
      <extLst>
        <ext uri="{3e2802c4-a4d2-4d8b-9148-e3be6c30e623}">
          <xlrd:rvb i="1307"/>
        </ext>
      </extLst>
    </bk>
    <bk>
      <extLst>
        <ext uri="{3e2802c4-a4d2-4d8b-9148-e3be6c30e623}">
          <xlrd:rvb i="1308"/>
        </ext>
      </extLst>
    </bk>
    <bk>
      <extLst>
        <ext uri="{3e2802c4-a4d2-4d8b-9148-e3be6c30e623}">
          <xlrd:rvb i="1309"/>
        </ext>
      </extLst>
    </bk>
    <bk>
      <extLst>
        <ext uri="{3e2802c4-a4d2-4d8b-9148-e3be6c30e623}">
          <xlrd:rvb i="1310"/>
        </ext>
      </extLst>
    </bk>
    <bk>
      <extLst>
        <ext uri="{3e2802c4-a4d2-4d8b-9148-e3be6c30e623}">
          <xlrd:rvb i="1311"/>
        </ext>
      </extLst>
    </bk>
    <bk>
      <extLst>
        <ext uri="{3e2802c4-a4d2-4d8b-9148-e3be6c30e623}">
          <xlrd:rvb i="1312"/>
        </ext>
      </extLst>
    </bk>
    <bk>
      <extLst>
        <ext uri="{3e2802c4-a4d2-4d8b-9148-e3be6c30e623}">
          <xlrd:rvb i="1313"/>
        </ext>
      </extLst>
    </bk>
    <bk>
      <extLst>
        <ext uri="{3e2802c4-a4d2-4d8b-9148-e3be6c30e623}">
          <xlrd:rvb i="1314"/>
        </ext>
      </extLst>
    </bk>
    <bk>
      <extLst>
        <ext uri="{3e2802c4-a4d2-4d8b-9148-e3be6c30e623}">
          <xlrd:rvb i="1315"/>
        </ext>
      </extLst>
    </bk>
    <bk>
      <extLst>
        <ext uri="{3e2802c4-a4d2-4d8b-9148-e3be6c30e623}">
          <xlrd:rvb i="1316"/>
        </ext>
      </extLst>
    </bk>
    <bk>
      <extLst>
        <ext uri="{3e2802c4-a4d2-4d8b-9148-e3be6c30e623}">
          <xlrd:rvb i="1317"/>
        </ext>
      </extLst>
    </bk>
    <bk>
      <extLst>
        <ext uri="{3e2802c4-a4d2-4d8b-9148-e3be6c30e623}">
          <xlrd:rvb i="1318"/>
        </ext>
      </extLst>
    </bk>
    <bk>
      <extLst>
        <ext uri="{3e2802c4-a4d2-4d8b-9148-e3be6c30e623}">
          <xlrd:rvb i="1319"/>
        </ext>
      </extLst>
    </bk>
    <bk>
      <extLst>
        <ext uri="{3e2802c4-a4d2-4d8b-9148-e3be6c30e623}">
          <xlrd:rvb i="1320"/>
        </ext>
      </extLst>
    </bk>
    <bk>
      <extLst>
        <ext uri="{3e2802c4-a4d2-4d8b-9148-e3be6c30e623}">
          <xlrd:rvb i="1321"/>
        </ext>
      </extLst>
    </bk>
    <bk>
      <extLst>
        <ext uri="{3e2802c4-a4d2-4d8b-9148-e3be6c30e623}">
          <xlrd:rvb i="1322"/>
        </ext>
      </extLst>
    </bk>
    <bk>
      <extLst>
        <ext uri="{3e2802c4-a4d2-4d8b-9148-e3be6c30e623}">
          <xlrd:rvb i="1323"/>
        </ext>
      </extLst>
    </bk>
    <bk>
      <extLst>
        <ext uri="{3e2802c4-a4d2-4d8b-9148-e3be6c30e623}">
          <xlrd:rvb i="1324"/>
        </ext>
      </extLst>
    </bk>
    <bk>
      <extLst>
        <ext uri="{3e2802c4-a4d2-4d8b-9148-e3be6c30e623}">
          <xlrd:rvb i="1325"/>
        </ext>
      </extLst>
    </bk>
    <bk>
      <extLst>
        <ext uri="{3e2802c4-a4d2-4d8b-9148-e3be6c30e623}">
          <xlrd:rvb i="1326"/>
        </ext>
      </extLst>
    </bk>
    <bk>
      <extLst>
        <ext uri="{3e2802c4-a4d2-4d8b-9148-e3be6c30e623}">
          <xlrd:rvb i="1327"/>
        </ext>
      </extLst>
    </bk>
    <bk>
      <extLst>
        <ext uri="{3e2802c4-a4d2-4d8b-9148-e3be6c30e623}">
          <xlrd:rvb i="1328"/>
        </ext>
      </extLst>
    </bk>
    <bk>
      <extLst>
        <ext uri="{3e2802c4-a4d2-4d8b-9148-e3be6c30e623}">
          <xlrd:rvb i="1329"/>
        </ext>
      </extLst>
    </bk>
    <bk>
      <extLst>
        <ext uri="{3e2802c4-a4d2-4d8b-9148-e3be6c30e623}">
          <xlrd:rvb i="1330"/>
        </ext>
      </extLst>
    </bk>
    <bk>
      <extLst>
        <ext uri="{3e2802c4-a4d2-4d8b-9148-e3be6c30e623}">
          <xlrd:rvb i="1331"/>
        </ext>
      </extLst>
    </bk>
    <bk>
      <extLst>
        <ext uri="{3e2802c4-a4d2-4d8b-9148-e3be6c30e623}">
          <xlrd:rvb i="1332"/>
        </ext>
      </extLst>
    </bk>
    <bk>
      <extLst>
        <ext uri="{3e2802c4-a4d2-4d8b-9148-e3be6c30e623}">
          <xlrd:rvb i="1333"/>
        </ext>
      </extLst>
    </bk>
    <bk>
      <extLst>
        <ext uri="{3e2802c4-a4d2-4d8b-9148-e3be6c30e623}">
          <xlrd:rvb i="1334"/>
        </ext>
      </extLst>
    </bk>
    <bk>
      <extLst>
        <ext uri="{3e2802c4-a4d2-4d8b-9148-e3be6c30e623}">
          <xlrd:rvb i="1335"/>
        </ext>
      </extLst>
    </bk>
    <bk>
      <extLst>
        <ext uri="{3e2802c4-a4d2-4d8b-9148-e3be6c30e623}">
          <xlrd:rvb i="1336"/>
        </ext>
      </extLst>
    </bk>
    <bk>
      <extLst>
        <ext uri="{3e2802c4-a4d2-4d8b-9148-e3be6c30e623}">
          <xlrd:rvb i="1337"/>
        </ext>
      </extLst>
    </bk>
    <bk>
      <extLst>
        <ext uri="{3e2802c4-a4d2-4d8b-9148-e3be6c30e623}">
          <xlrd:rvb i="1338"/>
        </ext>
      </extLst>
    </bk>
    <bk>
      <extLst>
        <ext uri="{3e2802c4-a4d2-4d8b-9148-e3be6c30e623}">
          <xlrd:rvb i="1339"/>
        </ext>
      </extLst>
    </bk>
    <bk>
      <extLst>
        <ext uri="{3e2802c4-a4d2-4d8b-9148-e3be6c30e623}">
          <xlrd:rvb i="1340"/>
        </ext>
      </extLst>
    </bk>
    <bk>
      <extLst>
        <ext uri="{3e2802c4-a4d2-4d8b-9148-e3be6c30e623}">
          <xlrd:rvb i="1341"/>
        </ext>
      </extLst>
    </bk>
    <bk>
      <extLst>
        <ext uri="{3e2802c4-a4d2-4d8b-9148-e3be6c30e623}">
          <xlrd:rvb i="1342"/>
        </ext>
      </extLst>
    </bk>
    <bk>
      <extLst>
        <ext uri="{3e2802c4-a4d2-4d8b-9148-e3be6c30e623}">
          <xlrd:rvb i="1343"/>
        </ext>
      </extLst>
    </bk>
    <bk>
      <extLst>
        <ext uri="{3e2802c4-a4d2-4d8b-9148-e3be6c30e623}">
          <xlrd:rvb i="1344"/>
        </ext>
      </extLst>
    </bk>
    <bk>
      <extLst>
        <ext uri="{3e2802c4-a4d2-4d8b-9148-e3be6c30e623}">
          <xlrd:rvb i="1345"/>
        </ext>
      </extLst>
    </bk>
    <bk>
      <extLst>
        <ext uri="{3e2802c4-a4d2-4d8b-9148-e3be6c30e623}">
          <xlrd:rvb i="1346"/>
        </ext>
      </extLst>
    </bk>
    <bk>
      <extLst>
        <ext uri="{3e2802c4-a4d2-4d8b-9148-e3be6c30e623}">
          <xlrd:rvb i="1347"/>
        </ext>
      </extLst>
    </bk>
    <bk>
      <extLst>
        <ext uri="{3e2802c4-a4d2-4d8b-9148-e3be6c30e623}">
          <xlrd:rvb i="1348"/>
        </ext>
      </extLst>
    </bk>
    <bk>
      <extLst>
        <ext uri="{3e2802c4-a4d2-4d8b-9148-e3be6c30e623}">
          <xlrd:rvb i="1349"/>
        </ext>
      </extLst>
    </bk>
    <bk>
      <extLst>
        <ext uri="{3e2802c4-a4d2-4d8b-9148-e3be6c30e623}">
          <xlrd:rvb i="1350"/>
        </ext>
      </extLst>
    </bk>
    <bk>
      <extLst>
        <ext uri="{3e2802c4-a4d2-4d8b-9148-e3be6c30e623}">
          <xlrd:rvb i="1351"/>
        </ext>
      </extLst>
    </bk>
    <bk>
      <extLst>
        <ext uri="{3e2802c4-a4d2-4d8b-9148-e3be6c30e623}">
          <xlrd:rvb i="1352"/>
        </ext>
      </extLst>
    </bk>
    <bk>
      <extLst>
        <ext uri="{3e2802c4-a4d2-4d8b-9148-e3be6c30e623}">
          <xlrd:rvb i="1353"/>
        </ext>
      </extLst>
    </bk>
    <bk>
      <extLst>
        <ext uri="{3e2802c4-a4d2-4d8b-9148-e3be6c30e623}">
          <xlrd:rvb i="1354"/>
        </ext>
      </extLst>
    </bk>
    <bk>
      <extLst>
        <ext uri="{3e2802c4-a4d2-4d8b-9148-e3be6c30e623}">
          <xlrd:rvb i="1355"/>
        </ext>
      </extLst>
    </bk>
    <bk>
      <extLst>
        <ext uri="{3e2802c4-a4d2-4d8b-9148-e3be6c30e623}">
          <xlrd:rvb i="1356"/>
        </ext>
      </extLst>
    </bk>
    <bk>
      <extLst>
        <ext uri="{3e2802c4-a4d2-4d8b-9148-e3be6c30e623}">
          <xlrd:rvb i="1357"/>
        </ext>
      </extLst>
    </bk>
    <bk>
      <extLst>
        <ext uri="{3e2802c4-a4d2-4d8b-9148-e3be6c30e623}">
          <xlrd:rvb i="1358"/>
        </ext>
      </extLst>
    </bk>
    <bk>
      <extLst>
        <ext uri="{3e2802c4-a4d2-4d8b-9148-e3be6c30e623}">
          <xlrd:rvb i="1359"/>
        </ext>
      </extLst>
    </bk>
    <bk>
      <extLst>
        <ext uri="{3e2802c4-a4d2-4d8b-9148-e3be6c30e623}">
          <xlrd:rvb i="1360"/>
        </ext>
      </extLst>
    </bk>
    <bk>
      <extLst>
        <ext uri="{3e2802c4-a4d2-4d8b-9148-e3be6c30e623}">
          <xlrd:rvb i="1361"/>
        </ext>
      </extLst>
    </bk>
    <bk>
      <extLst>
        <ext uri="{3e2802c4-a4d2-4d8b-9148-e3be6c30e623}">
          <xlrd:rvb i="1362"/>
        </ext>
      </extLst>
    </bk>
    <bk>
      <extLst>
        <ext uri="{3e2802c4-a4d2-4d8b-9148-e3be6c30e623}">
          <xlrd:rvb i="1363"/>
        </ext>
      </extLst>
    </bk>
    <bk>
      <extLst>
        <ext uri="{3e2802c4-a4d2-4d8b-9148-e3be6c30e623}">
          <xlrd:rvb i="1364"/>
        </ext>
      </extLst>
    </bk>
    <bk>
      <extLst>
        <ext uri="{3e2802c4-a4d2-4d8b-9148-e3be6c30e623}">
          <xlrd:rvb i="1365"/>
        </ext>
      </extLst>
    </bk>
    <bk>
      <extLst>
        <ext uri="{3e2802c4-a4d2-4d8b-9148-e3be6c30e623}">
          <xlrd:rvb i="1366"/>
        </ext>
      </extLst>
    </bk>
    <bk>
      <extLst>
        <ext uri="{3e2802c4-a4d2-4d8b-9148-e3be6c30e623}">
          <xlrd:rvb i="1367"/>
        </ext>
      </extLst>
    </bk>
    <bk>
      <extLst>
        <ext uri="{3e2802c4-a4d2-4d8b-9148-e3be6c30e623}">
          <xlrd:rvb i="1368"/>
        </ext>
      </extLst>
    </bk>
    <bk>
      <extLst>
        <ext uri="{3e2802c4-a4d2-4d8b-9148-e3be6c30e623}">
          <xlrd:rvb i="1369"/>
        </ext>
      </extLst>
    </bk>
    <bk>
      <extLst>
        <ext uri="{3e2802c4-a4d2-4d8b-9148-e3be6c30e623}">
          <xlrd:rvb i="1370"/>
        </ext>
      </extLst>
    </bk>
    <bk>
      <extLst>
        <ext uri="{3e2802c4-a4d2-4d8b-9148-e3be6c30e623}">
          <xlrd:rvb i="1371"/>
        </ext>
      </extLst>
    </bk>
    <bk>
      <extLst>
        <ext uri="{3e2802c4-a4d2-4d8b-9148-e3be6c30e623}">
          <xlrd:rvb i="1372"/>
        </ext>
      </extLst>
    </bk>
    <bk>
      <extLst>
        <ext uri="{3e2802c4-a4d2-4d8b-9148-e3be6c30e623}">
          <xlrd:rvb i="1373"/>
        </ext>
      </extLst>
    </bk>
    <bk>
      <extLst>
        <ext uri="{3e2802c4-a4d2-4d8b-9148-e3be6c30e623}">
          <xlrd:rvb i="1374"/>
        </ext>
      </extLst>
    </bk>
    <bk>
      <extLst>
        <ext uri="{3e2802c4-a4d2-4d8b-9148-e3be6c30e623}">
          <xlrd:rvb i="1375"/>
        </ext>
      </extLst>
    </bk>
    <bk>
      <extLst>
        <ext uri="{3e2802c4-a4d2-4d8b-9148-e3be6c30e623}">
          <xlrd:rvb i="1376"/>
        </ext>
      </extLst>
    </bk>
    <bk>
      <extLst>
        <ext uri="{3e2802c4-a4d2-4d8b-9148-e3be6c30e623}">
          <xlrd:rvb i="1377"/>
        </ext>
      </extLst>
    </bk>
    <bk>
      <extLst>
        <ext uri="{3e2802c4-a4d2-4d8b-9148-e3be6c30e623}">
          <xlrd:rvb i="1378"/>
        </ext>
      </extLst>
    </bk>
    <bk>
      <extLst>
        <ext uri="{3e2802c4-a4d2-4d8b-9148-e3be6c30e623}">
          <xlrd:rvb i="1379"/>
        </ext>
      </extLst>
    </bk>
    <bk>
      <extLst>
        <ext uri="{3e2802c4-a4d2-4d8b-9148-e3be6c30e623}">
          <xlrd:rvb i="1380"/>
        </ext>
      </extLst>
    </bk>
    <bk>
      <extLst>
        <ext uri="{3e2802c4-a4d2-4d8b-9148-e3be6c30e623}">
          <xlrd:rvb i="1381"/>
        </ext>
      </extLst>
    </bk>
    <bk>
      <extLst>
        <ext uri="{3e2802c4-a4d2-4d8b-9148-e3be6c30e623}">
          <xlrd:rvb i="1382"/>
        </ext>
      </extLst>
    </bk>
    <bk>
      <extLst>
        <ext uri="{3e2802c4-a4d2-4d8b-9148-e3be6c30e623}">
          <xlrd:rvb i="1383"/>
        </ext>
      </extLst>
    </bk>
    <bk>
      <extLst>
        <ext uri="{3e2802c4-a4d2-4d8b-9148-e3be6c30e623}">
          <xlrd:rvb i="1384"/>
        </ext>
      </extLst>
    </bk>
    <bk>
      <extLst>
        <ext uri="{3e2802c4-a4d2-4d8b-9148-e3be6c30e623}">
          <xlrd:rvb i="1385"/>
        </ext>
      </extLst>
    </bk>
    <bk>
      <extLst>
        <ext uri="{3e2802c4-a4d2-4d8b-9148-e3be6c30e623}">
          <xlrd:rvb i="1386"/>
        </ext>
      </extLst>
    </bk>
    <bk>
      <extLst>
        <ext uri="{3e2802c4-a4d2-4d8b-9148-e3be6c30e623}">
          <xlrd:rvb i="1387"/>
        </ext>
      </extLst>
    </bk>
    <bk>
      <extLst>
        <ext uri="{3e2802c4-a4d2-4d8b-9148-e3be6c30e623}">
          <xlrd:rvb i="1388"/>
        </ext>
      </extLst>
    </bk>
    <bk>
      <extLst>
        <ext uri="{3e2802c4-a4d2-4d8b-9148-e3be6c30e623}">
          <xlrd:rvb i="1389"/>
        </ext>
      </extLst>
    </bk>
    <bk>
      <extLst>
        <ext uri="{3e2802c4-a4d2-4d8b-9148-e3be6c30e623}">
          <xlrd:rvb i="1390"/>
        </ext>
      </extLst>
    </bk>
    <bk>
      <extLst>
        <ext uri="{3e2802c4-a4d2-4d8b-9148-e3be6c30e623}">
          <xlrd:rvb i="1391"/>
        </ext>
      </extLst>
    </bk>
    <bk>
      <extLst>
        <ext uri="{3e2802c4-a4d2-4d8b-9148-e3be6c30e623}">
          <xlrd:rvb i="1392"/>
        </ext>
      </extLst>
    </bk>
    <bk>
      <extLst>
        <ext uri="{3e2802c4-a4d2-4d8b-9148-e3be6c30e623}">
          <xlrd:rvb i="1393"/>
        </ext>
      </extLst>
    </bk>
    <bk>
      <extLst>
        <ext uri="{3e2802c4-a4d2-4d8b-9148-e3be6c30e623}">
          <xlrd:rvb i="1394"/>
        </ext>
      </extLst>
    </bk>
    <bk>
      <extLst>
        <ext uri="{3e2802c4-a4d2-4d8b-9148-e3be6c30e623}">
          <xlrd:rvb i="1395"/>
        </ext>
      </extLst>
    </bk>
    <bk>
      <extLst>
        <ext uri="{3e2802c4-a4d2-4d8b-9148-e3be6c30e623}">
          <xlrd:rvb i="1396"/>
        </ext>
      </extLst>
    </bk>
    <bk>
      <extLst>
        <ext uri="{3e2802c4-a4d2-4d8b-9148-e3be6c30e623}">
          <xlrd:rvb i="1397"/>
        </ext>
      </extLst>
    </bk>
    <bk>
      <extLst>
        <ext uri="{3e2802c4-a4d2-4d8b-9148-e3be6c30e623}">
          <xlrd:rvb i="1398"/>
        </ext>
      </extLst>
    </bk>
    <bk>
      <extLst>
        <ext uri="{3e2802c4-a4d2-4d8b-9148-e3be6c30e623}">
          <xlrd:rvb i="1399"/>
        </ext>
      </extLst>
    </bk>
    <bk>
      <extLst>
        <ext uri="{3e2802c4-a4d2-4d8b-9148-e3be6c30e623}">
          <xlrd:rvb i="1400"/>
        </ext>
      </extLst>
    </bk>
    <bk>
      <extLst>
        <ext uri="{3e2802c4-a4d2-4d8b-9148-e3be6c30e623}">
          <xlrd:rvb i="1401"/>
        </ext>
      </extLst>
    </bk>
    <bk>
      <extLst>
        <ext uri="{3e2802c4-a4d2-4d8b-9148-e3be6c30e623}">
          <xlrd:rvb i="1402"/>
        </ext>
      </extLst>
    </bk>
    <bk>
      <extLst>
        <ext uri="{3e2802c4-a4d2-4d8b-9148-e3be6c30e623}">
          <xlrd:rvb i="1403"/>
        </ext>
      </extLst>
    </bk>
    <bk>
      <extLst>
        <ext uri="{3e2802c4-a4d2-4d8b-9148-e3be6c30e623}">
          <xlrd:rvb i="1404"/>
        </ext>
      </extLst>
    </bk>
    <bk>
      <extLst>
        <ext uri="{3e2802c4-a4d2-4d8b-9148-e3be6c30e623}">
          <xlrd:rvb i="1405"/>
        </ext>
      </extLst>
    </bk>
    <bk>
      <extLst>
        <ext uri="{3e2802c4-a4d2-4d8b-9148-e3be6c30e623}">
          <xlrd:rvb i="1406"/>
        </ext>
      </extLst>
    </bk>
    <bk>
      <extLst>
        <ext uri="{3e2802c4-a4d2-4d8b-9148-e3be6c30e623}">
          <xlrd:rvb i="1407"/>
        </ext>
      </extLst>
    </bk>
    <bk>
      <extLst>
        <ext uri="{3e2802c4-a4d2-4d8b-9148-e3be6c30e623}">
          <xlrd:rvb i="1408"/>
        </ext>
      </extLst>
    </bk>
    <bk>
      <extLst>
        <ext uri="{3e2802c4-a4d2-4d8b-9148-e3be6c30e623}">
          <xlrd:rvb i="1409"/>
        </ext>
      </extLst>
    </bk>
    <bk>
      <extLst>
        <ext uri="{3e2802c4-a4d2-4d8b-9148-e3be6c30e623}">
          <xlrd:rvb i="1410"/>
        </ext>
      </extLst>
    </bk>
    <bk>
      <extLst>
        <ext uri="{3e2802c4-a4d2-4d8b-9148-e3be6c30e623}">
          <xlrd:rvb i="1411"/>
        </ext>
      </extLst>
    </bk>
    <bk>
      <extLst>
        <ext uri="{3e2802c4-a4d2-4d8b-9148-e3be6c30e623}">
          <xlrd:rvb i="1412"/>
        </ext>
      </extLst>
    </bk>
    <bk>
      <extLst>
        <ext uri="{3e2802c4-a4d2-4d8b-9148-e3be6c30e623}">
          <xlrd:rvb i="1413"/>
        </ext>
      </extLst>
    </bk>
    <bk>
      <extLst>
        <ext uri="{3e2802c4-a4d2-4d8b-9148-e3be6c30e623}">
          <xlrd:rvb i="1414"/>
        </ext>
      </extLst>
    </bk>
    <bk>
      <extLst>
        <ext uri="{3e2802c4-a4d2-4d8b-9148-e3be6c30e623}">
          <xlrd:rvb i="1415"/>
        </ext>
      </extLst>
    </bk>
    <bk>
      <extLst>
        <ext uri="{3e2802c4-a4d2-4d8b-9148-e3be6c30e623}">
          <xlrd:rvb i="1416"/>
        </ext>
      </extLst>
    </bk>
    <bk>
      <extLst>
        <ext uri="{3e2802c4-a4d2-4d8b-9148-e3be6c30e623}">
          <xlrd:rvb i="1417"/>
        </ext>
      </extLst>
    </bk>
    <bk>
      <extLst>
        <ext uri="{3e2802c4-a4d2-4d8b-9148-e3be6c30e623}">
          <xlrd:rvb i="1418"/>
        </ext>
      </extLst>
    </bk>
    <bk>
      <extLst>
        <ext uri="{3e2802c4-a4d2-4d8b-9148-e3be6c30e623}">
          <xlrd:rvb i="1419"/>
        </ext>
      </extLst>
    </bk>
    <bk>
      <extLst>
        <ext uri="{3e2802c4-a4d2-4d8b-9148-e3be6c30e623}">
          <xlrd:rvb i="1420"/>
        </ext>
      </extLst>
    </bk>
    <bk>
      <extLst>
        <ext uri="{3e2802c4-a4d2-4d8b-9148-e3be6c30e623}">
          <xlrd:rvb i="1421"/>
        </ext>
      </extLst>
    </bk>
    <bk>
      <extLst>
        <ext uri="{3e2802c4-a4d2-4d8b-9148-e3be6c30e623}">
          <xlrd:rvb i="1422"/>
        </ext>
      </extLst>
    </bk>
    <bk>
      <extLst>
        <ext uri="{3e2802c4-a4d2-4d8b-9148-e3be6c30e623}">
          <xlrd:rvb i="1423"/>
        </ext>
      </extLst>
    </bk>
    <bk>
      <extLst>
        <ext uri="{3e2802c4-a4d2-4d8b-9148-e3be6c30e623}">
          <xlrd:rvb i="1424"/>
        </ext>
      </extLst>
    </bk>
    <bk>
      <extLst>
        <ext uri="{3e2802c4-a4d2-4d8b-9148-e3be6c30e623}">
          <xlrd:rvb i="1425"/>
        </ext>
      </extLst>
    </bk>
    <bk>
      <extLst>
        <ext uri="{3e2802c4-a4d2-4d8b-9148-e3be6c30e623}">
          <xlrd:rvb i="1426"/>
        </ext>
      </extLst>
    </bk>
    <bk>
      <extLst>
        <ext uri="{3e2802c4-a4d2-4d8b-9148-e3be6c30e623}">
          <xlrd:rvb i="1427"/>
        </ext>
      </extLst>
    </bk>
    <bk>
      <extLst>
        <ext uri="{3e2802c4-a4d2-4d8b-9148-e3be6c30e623}">
          <xlrd:rvb i="1428"/>
        </ext>
      </extLst>
    </bk>
    <bk>
      <extLst>
        <ext uri="{3e2802c4-a4d2-4d8b-9148-e3be6c30e623}">
          <xlrd:rvb i="1429"/>
        </ext>
      </extLst>
    </bk>
    <bk>
      <extLst>
        <ext uri="{3e2802c4-a4d2-4d8b-9148-e3be6c30e623}">
          <xlrd:rvb i="1430"/>
        </ext>
      </extLst>
    </bk>
    <bk>
      <extLst>
        <ext uri="{3e2802c4-a4d2-4d8b-9148-e3be6c30e623}">
          <xlrd:rvb i="1431"/>
        </ext>
      </extLst>
    </bk>
    <bk>
      <extLst>
        <ext uri="{3e2802c4-a4d2-4d8b-9148-e3be6c30e623}">
          <xlrd:rvb i="1432"/>
        </ext>
      </extLst>
    </bk>
    <bk>
      <extLst>
        <ext uri="{3e2802c4-a4d2-4d8b-9148-e3be6c30e623}">
          <xlrd:rvb i="1433"/>
        </ext>
      </extLst>
    </bk>
    <bk>
      <extLst>
        <ext uri="{3e2802c4-a4d2-4d8b-9148-e3be6c30e623}">
          <xlrd:rvb i="1434"/>
        </ext>
      </extLst>
    </bk>
    <bk>
      <extLst>
        <ext uri="{3e2802c4-a4d2-4d8b-9148-e3be6c30e623}">
          <xlrd:rvb i="1435"/>
        </ext>
      </extLst>
    </bk>
    <bk>
      <extLst>
        <ext uri="{3e2802c4-a4d2-4d8b-9148-e3be6c30e623}">
          <xlrd:rvb i="1436"/>
        </ext>
      </extLst>
    </bk>
    <bk>
      <extLst>
        <ext uri="{3e2802c4-a4d2-4d8b-9148-e3be6c30e623}">
          <xlrd:rvb i="1437"/>
        </ext>
      </extLst>
    </bk>
    <bk>
      <extLst>
        <ext uri="{3e2802c4-a4d2-4d8b-9148-e3be6c30e623}">
          <xlrd:rvb i="1438"/>
        </ext>
      </extLst>
    </bk>
    <bk>
      <extLst>
        <ext uri="{3e2802c4-a4d2-4d8b-9148-e3be6c30e623}">
          <xlrd:rvb i="1439"/>
        </ext>
      </extLst>
    </bk>
    <bk>
      <extLst>
        <ext uri="{3e2802c4-a4d2-4d8b-9148-e3be6c30e623}">
          <xlrd:rvb i="1440"/>
        </ext>
      </extLst>
    </bk>
    <bk>
      <extLst>
        <ext uri="{3e2802c4-a4d2-4d8b-9148-e3be6c30e623}">
          <xlrd:rvb i="1441"/>
        </ext>
      </extLst>
    </bk>
    <bk>
      <extLst>
        <ext uri="{3e2802c4-a4d2-4d8b-9148-e3be6c30e623}">
          <xlrd:rvb i="1442"/>
        </ext>
      </extLst>
    </bk>
    <bk>
      <extLst>
        <ext uri="{3e2802c4-a4d2-4d8b-9148-e3be6c30e623}">
          <xlrd:rvb i="1443"/>
        </ext>
      </extLst>
    </bk>
    <bk>
      <extLst>
        <ext uri="{3e2802c4-a4d2-4d8b-9148-e3be6c30e623}">
          <xlrd:rvb i="1444"/>
        </ext>
      </extLst>
    </bk>
    <bk>
      <extLst>
        <ext uri="{3e2802c4-a4d2-4d8b-9148-e3be6c30e623}">
          <xlrd:rvb i="1445"/>
        </ext>
      </extLst>
    </bk>
    <bk>
      <extLst>
        <ext uri="{3e2802c4-a4d2-4d8b-9148-e3be6c30e623}">
          <xlrd:rvb i="1446"/>
        </ext>
      </extLst>
    </bk>
    <bk>
      <extLst>
        <ext uri="{3e2802c4-a4d2-4d8b-9148-e3be6c30e623}">
          <xlrd:rvb i="1447"/>
        </ext>
      </extLst>
    </bk>
    <bk>
      <extLst>
        <ext uri="{3e2802c4-a4d2-4d8b-9148-e3be6c30e623}">
          <xlrd:rvb i="1448"/>
        </ext>
      </extLst>
    </bk>
    <bk>
      <extLst>
        <ext uri="{3e2802c4-a4d2-4d8b-9148-e3be6c30e623}">
          <xlrd:rvb i="1449"/>
        </ext>
      </extLst>
    </bk>
    <bk>
      <extLst>
        <ext uri="{3e2802c4-a4d2-4d8b-9148-e3be6c30e623}">
          <xlrd:rvb i="1450"/>
        </ext>
      </extLst>
    </bk>
    <bk>
      <extLst>
        <ext uri="{3e2802c4-a4d2-4d8b-9148-e3be6c30e623}">
          <xlrd:rvb i="1451"/>
        </ext>
      </extLst>
    </bk>
    <bk>
      <extLst>
        <ext uri="{3e2802c4-a4d2-4d8b-9148-e3be6c30e623}">
          <xlrd:rvb i="1452"/>
        </ext>
      </extLst>
    </bk>
    <bk>
      <extLst>
        <ext uri="{3e2802c4-a4d2-4d8b-9148-e3be6c30e623}">
          <xlrd:rvb i="1453"/>
        </ext>
      </extLst>
    </bk>
    <bk>
      <extLst>
        <ext uri="{3e2802c4-a4d2-4d8b-9148-e3be6c30e623}">
          <xlrd:rvb i="1454"/>
        </ext>
      </extLst>
    </bk>
    <bk>
      <extLst>
        <ext uri="{3e2802c4-a4d2-4d8b-9148-e3be6c30e623}">
          <xlrd:rvb i="1455"/>
        </ext>
      </extLst>
    </bk>
    <bk>
      <extLst>
        <ext uri="{3e2802c4-a4d2-4d8b-9148-e3be6c30e623}">
          <xlrd:rvb i="1458"/>
        </ext>
      </extLst>
    </bk>
    <bk>
      <extLst>
        <ext uri="{3e2802c4-a4d2-4d8b-9148-e3be6c30e623}">
          <xlrd:rvb i="1459"/>
        </ext>
      </extLst>
    </bk>
    <bk>
      <extLst>
        <ext uri="{3e2802c4-a4d2-4d8b-9148-e3be6c30e623}">
          <xlrd:rvb i="1460"/>
        </ext>
      </extLst>
    </bk>
    <bk>
      <extLst>
        <ext uri="{3e2802c4-a4d2-4d8b-9148-e3be6c30e623}">
          <xlrd:rvb i="1461"/>
        </ext>
      </extLst>
    </bk>
    <bk>
      <extLst>
        <ext uri="{3e2802c4-a4d2-4d8b-9148-e3be6c30e623}">
          <xlrd:rvb i="1462"/>
        </ext>
      </extLst>
    </bk>
    <bk>
      <extLst>
        <ext uri="{3e2802c4-a4d2-4d8b-9148-e3be6c30e623}">
          <xlrd:rvb i="1463"/>
        </ext>
      </extLst>
    </bk>
    <bk>
      <extLst>
        <ext uri="{3e2802c4-a4d2-4d8b-9148-e3be6c30e623}">
          <xlrd:rvb i="1464"/>
        </ext>
      </extLst>
    </bk>
    <bk>
      <extLst>
        <ext uri="{3e2802c4-a4d2-4d8b-9148-e3be6c30e623}">
          <xlrd:rvb i="1465"/>
        </ext>
      </extLst>
    </bk>
    <bk>
      <extLst>
        <ext uri="{3e2802c4-a4d2-4d8b-9148-e3be6c30e623}">
          <xlrd:rvb i="1466"/>
        </ext>
      </extLst>
    </bk>
    <bk>
      <extLst>
        <ext uri="{3e2802c4-a4d2-4d8b-9148-e3be6c30e623}">
          <xlrd:rvb i="1467"/>
        </ext>
      </extLst>
    </bk>
    <bk>
      <extLst>
        <ext uri="{3e2802c4-a4d2-4d8b-9148-e3be6c30e623}">
          <xlrd:rvb i="1468"/>
        </ext>
      </extLst>
    </bk>
    <bk>
      <extLst>
        <ext uri="{3e2802c4-a4d2-4d8b-9148-e3be6c30e623}">
          <xlrd:rvb i="1469"/>
        </ext>
      </extLst>
    </bk>
    <bk>
      <extLst>
        <ext uri="{3e2802c4-a4d2-4d8b-9148-e3be6c30e623}">
          <xlrd:rvb i="1470"/>
        </ext>
      </extLst>
    </bk>
    <bk>
      <extLst>
        <ext uri="{3e2802c4-a4d2-4d8b-9148-e3be6c30e623}">
          <xlrd:rvb i="1471"/>
        </ext>
      </extLst>
    </bk>
    <bk>
      <extLst>
        <ext uri="{3e2802c4-a4d2-4d8b-9148-e3be6c30e623}">
          <xlrd:rvb i="1472"/>
        </ext>
      </extLst>
    </bk>
    <bk>
      <extLst>
        <ext uri="{3e2802c4-a4d2-4d8b-9148-e3be6c30e623}">
          <xlrd:rvb i="1473"/>
        </ext>
      </extLst>
    </bk>
    <bk>
      <extLst>
        <ext uri="{3e2802c4-a4d2-4d8b-9148-e3be6c30e623}">
          <xlrd:rvb i="1474"/>
        </ext>
      </extLst>
    </bk>
    <bk>
      <extLst>
        <ext uri="{3e2802c4-a4d2-4d8b-9148-e3be6c30e623}">
          <xlrd:rvb i="1475"/>
        </ext>
      </extLst>
    </bk>
    <bk>
      <extLst>
        <ext uri="{3e2802c4-a4d2-4d8b-9148-e3be6c30e623}">
          <xlrd:rvb i="1476"/>
        </ext>
      </extLst>
    </bk>
    <bk>
      <extLst>
        <ext uri="{3e2802c4-a4d2-4d8b-9148-e3be6c30e623}">
          <xlrd:rvb i="1477"/>
        </ext>
      </extLst>
    </bk>
    <bk>
      <extLst>
        <ext uri="{3e2802c4-a4d2-4d8b-9148-e3be6c30e623}">
          <xlrd:rvb i="1478"/>
        </ext>
      </extLst>
    </bk>
    <bk>
      <extLst>
        <ext uri="{3e2802c4-a4d2-4d8b-9148-e3be6c30e623}">
          <xlrd:rvb i="1479"/>
        </ext>
      </extLst>
    </bk>
    <bk>
      <extLst>
        <ext uri="{3e2802c4-a4d2-4d8b-9148-e3be6c30e623}">
          <xlrd:rvb i="1480"/>
        </ext>
      </extLst>
    </bk>
    <bk>
      <extLst>
        <ext uri="{3e2802c4-a4d2-4d8b-9148-e3be6c30e623}">
          <xlrd:rvb i="1481"/>
        </ext>
      </extLst>
    </bk>
    <bk>
      <extLst>
        <ext uri="{3e2802c4-a4d2-4d8b-9148-e3be6c30e623}">
          <xlrd:rvb i="1482"/>
        </ext>
      </extLst>
    </bk>
    <bk>
      <extLst>
        <ext uri="{3e2802c4-a4d2-4d8b-9148-e3be6c30e623}">
          <xlrd:rvb i="1483"/>
        </ext>
      </extLst>
    </bk>
    <bk>
      <extLst>
        <ext uri="{3e2802c4-a4d2-4d8b-9148-e3be6c30e623}">
          <xlrd:rvb i="1484"/>
        </ext>
      </extLst>
    </bk>
    <bk>
      <extLst>
        <ext uri="{3e2802c4-a4d2-4d8b-9148-e3be6c30e623}">
          <xlrd:rvb i="1485"/>
        </ext>
      </extLst>
    </bk>
    <bk>
      <extLst>
        <ext uri="{3e2802c4-a4d2-4d8b-9148-e3be6c30e623}">
          <xlrd:rvb i="1486"/>
        </ext>
      </extLst>
    </bk>
    <bk>
      <extLst>
        <ext uri="{3e2802c4-a4d2-4d8b-9148-e3be6c30e623}">
          <xlrd:rvb i="1487"/>
        </ext>
      </extLst>
    </bk>
    <bk>
      <extLst>
        <ext uri="{3e2802c4-a4d2-4d8b-9148-e3be6c30e623}">
          <xlrd:rvb i="1488"/>
        </ext>
      </extLst>
    </bk>
    <bk>
      <extLst>
        <ext uri="{3e2802c4-a4d2-4d8b-9148-e3be6c30e623}">
          <xlrd:rvb i="1489"/>
        </ext>
      </extLst>
    </bk>
    <bk>
      <extLst>
        <ext uri="{3e2802c4-a4d2-4d8b-9148-e3be6c30e623}">
          <xlrd:rvb i="1490"/>
        </ext>
      </extLst>
    </bk>
    <bk>
      <extLst>
        <ext uri="{3e2802c4-a4d2-4d8b-9148-e3be6c30e623}">
          <xlrd:rvb i="1491"/>
        </ext>
      </extLst>
    </bk>
    <bk>
      <extLst>
        <ext uri="{3e2802c4-a4d2-4d8b-9148-e3be6c30e623}">
          <xlrd:rvb i="1492"/>
        </ext>
      </extLst>
    </bk>
    <bk>
      <extLst>
        <ext uri="{3e2802c4-a4d2-4d8b-9148-e3be6c30e623}">
          <xlrd:rvb i="1493"/>
        </ext>
      </extLst>
    </bk>
    <bk>
      <extLst>
        <ext uri="{3e2802c4-a4d2-4d8b-9148-e3be6c30e623}">
          <xlrd:rvb i="1494"/>
        </ext>
      </extLst>
    </bk>
    <bk>
      <extLst>
        <ext uri="{3e2802c4-a4d2-4d8b-9148-e3be6c30e623}">
          <xlrd:rvb i="1495"/>
        </ext>
      </extLst>
    </bk>
    <bk>
      <extLst>
        <ext uri="{3e2802c4-a4d2-4d8b-9148-e3be6c30e623}">
          <xlrd:rvb i="1496"/>
        </ext>
      </extLst>
    </bk>
    <bk>
      <extLst>
        <ext uri="{3e2802c4-a4d2-4d8b-9148-e3be6c30e623}">
          <xlrd:rvb i="1497"/>
        </ext>
      </extLst>
    </bk>
    <bk>
      <extLst>
        <ext uri="{3e2802c4-a4d2-4d8b-9148-e3be6c30e623}">
          <xlrd:rvb i="1498"/>
        </ext>
      </extLst>
    </bk>
    <bk>
      <extLst>
        <ext uri="{3e2802c4-a4d2-4d8b-9148-e3be6c30e623}">
          <xlrd:rvb i="1499"/>
        </ext>
      </extLst>
    </bk>
    <bk>
      <extLst>
        <ext uri="{3e2802c4-a4d2-4d8b-9148-e3be6c30e623}">
          <xlrd:rvb i="1500"/>
        </ext>
      </extLst>
    </bk>
    <bk>
      <extLst>
        <ext uri="{3e2802c4-a4d2-4d8b-9148-e3be6c30e623}">
          <xlrd:rvb i="1501"/>
        </ext>
      </extLst>
    </bk>
    <bk>
      <extLst>
        <ext uri="{3e2802c4-a4d2-4d8b-9148-e3be6c30e623}">
          <xlrd:rvb i="1502"/>
        </ext>
      </extLst>
    </bk>
    <bk>
      <extLst>
        <ext uri="{3e2802c4-a4d2-4d8b-9148-e3be6c30e623}">
          <xlrd:rvb i="1503"/>
        </ext>
      </extLst>
    </bk>
    <bk>
      <extLst>
        <ext uri="{3e2802c4-a4d2-4d8b-9148-e3be6c30e623}">
          <xlrd:rvb i="1504"/>
        </ext>
      </extLst>
    </bk>
    <bk>
      <extLst>
        <ext uri="{3e2802c4-a4d2-4d8b-9148-e3be6c30e623}">
          <xlrd:rvb i="1505"/>
        </ext>
      </extLst>
    </bk>
    <bk>
      <extLst>
        <ext uri="{3e2802c4-a4d2-4d8b-9148-e3be6c30e623}">
          <xlrd:rvb i="1506"/>
        </ext>
      </extLst>
    </bk>
    <bk>
      <extLst>
        <ext uri="{3e2802c4-a4d2-4d8b-9148-e3be6c30e623}">
          <xlrd:rvb i="1507"/>
        </ext>
      </extLst>
    </bk>
    <bk>
      <extLst>
        <ext uri="{3e2802c4-a4d2-4d8b-9148-e3be6c30e623}">
          <xlrd:rvb i="1508"/>
        </ext>
      </extLst>
    </bk>
    <bk>
      <extLst>
        <ext uri="{3e2802c4-a4d2-4d8b-9148-e3be6c30e623}">
          <xlrd:rvb i="1509"/>
        </ext>
      </extLst>
    </bk>
    <bk>
      <extLst>
        <ext uri="{3e2802c4-a4d2-4d8b-9148-e3be6c30e623}">
          <xlrd:rvb i="1510"/>
        </ext>
      </extLst>
    </bk>
    <bk>
      <extLst>
        <ext uri="{3e2802c4-a4d2-4d8b-9148-e3be6c30e623}">
          <xlrd:rvb i="1511"/>
        </ext>
      </extLst>
    </bk>
    <bk>
      <extLst>
        <ext uri="{3e2802c4-a4d2-4d8b-9148-e3be6c30e623}">
          <xlrd:rvb i="1512"/>
        </ext>
      </extLst>
    </bk>
    <bk>
      <extLst>
        <ext uri="{3e2802c4-a4d2-4d8b-9148-e3be6c30e623}">
          <xlrd:rvb i="1513"/>
        </ext>
      </extLst>
    </bk>
    <bk>
      <extLst>
        <ext uri="{3e2802c4-a4d2-4d8b-9148-e3be6c30e623}">
          <xlrd:rvb i="1514"/>
        </ext>
      </extLst>
    </bk>
    <bk>
      <extLst>
        <ext uri="{3e2802c4-a4d2-4d8b-9148-e3be6c30e623}">
          <xlrd:rvb i="1515"/>
        </ext>
      </extLst>
    </bk>
    <bk>
      <extLst>
        <ext uri="{3e2802c4-a4d2-4d8b-9148-e3be6c30e623}">
          <xlrd:rvb i="1516"/>
        </ext>
      </extLst>
    </bk>
    <bk>
      <extLst>
        <ext uri="{3e2802c4-a4d2-4d8b-9148-e3be6c30e623}">
          <xlrd:rvb i="1517"/>
        </ext>
      </extLst>
    </bk>
    <bk>
      <extLst>
        <ext uri="{3e2802c4-a4d2-4d8b-9148-e3be6c30e623}">
          <xlrd:rvb i="1518"/>
        </ext>
      </extLst>
    </bk>
    <bk>
      <extLst>
        <ext uri="{3e2802c4-a4d2-4d8b-9148-e3be6c30e623}">
          <xlrd:rvb i="1519"/>
        </ext>
      </extLst>
    </bk>
    <bk>
      <extLst>
        <ext uri="{3e2802c4-a4d2-4d8b-9148-e3be6c30e623}">
          <xlrd:rvb i="1520"/>
        </ext>
      </extLst>
    </bk>
    <bk>
      <extLst>
        <ext uri="{3e2802c4-a4d2-4d8b-9148-e3be6c30e623}">
          <xlrd:rvb i="1521"/>
        </ext>
      </extLst>
    </bk>
    <bk>
      <extLst>
        <ext uri="{3e2802c4-a4d2-4d8b-9148-e3be6c30e623}">
          <xlrd:rvb i="1522"/>
        </ext>
      </extLst>
    </bk>
    <bk>
      <extLst>
        <ext uri="{3e2802c4-a4d2-4d8b-9148-e3be6c30e623}">
          <xlrd:rvb i="1523"/>
        </ext>
      </extLst>
    </bk>
    <bk>
      <extLst>
        <ext uri="{3e2802c4-a4d2-4d8b-9148-e3be6c30e623}">
          <xlrd:rvb i="1524"/>
        </ext>
      </extLst>
    </bk>
    <bk>
      <extLst>
        <ext uri="{3e2802c4-a4d2-4d8b-9148-e3be6c30e623}">
          <xlrd:rvb i="1525"/>
        </ext>
      </extLst>
    </bk>
    <bk>
      <extLst>
        <ext uri="{3e2802c4-a4d2-4d8b-9148-e3be6c30e623}">
          <xlrd:rvb i="1526"/>
        </ext>
      </extLst>
    </bk>
    <bk>
      <extLst>
        <ext uri="{3e2802c4-a4d2-4d8b-9148-e3be6c30e623}">
          <xlrd:rvb i="1527"/>
        </ext>
      </extLst>
    </bk>
    <bk>
      <extLst>
        <ext uri="{3e2802c4-a4d2-4d8b-9148-e3be6c30e623}">
          <xlrd:rvb i="1528"/>
        </ext>
      </extLst>
    </bk>
    <bk>
      <extLst>
        <ext uri="{3e2802c4-a4d2-4d8b-9148-e3be6c30e623}">
          <xlrd:rvb i="1529"/>
        </ext>
      </extLst>
    </bk>
    <bk>
      <extLst>
        <ext uri="{3e2802c4-a4d2-4d8b-9148-e3be6c30e623}">
          <xlrd:rvb i="1530"/>
        </ext>
      </extLst>
    </bk>
    <bk>
      <extLst>
        <ext uri="{3e2802c4-a4d2-4d8b-9148-e3be6c30e623}">
          <xlrd:rvb i="1531"/>
        </ext>
      </extLst>
    </bk>
    <bk>
      <extLst>
        <ext uri="{3e2802c4-a4d2-4d8b-9148-e3be6c30e623}">
          <xlrd:rvb i="1532"/>
        </ext>
      </extLst>
    </bk>
    <bk>
      <extLst>
        <ext uri="{3e2802c4-a4d2-4d8b-9148-e3be6c30e623}">
          <xlrd:rvb i="1533"/>
        </ext>
      </extLst>
    </bk>
    <bk>
      <extLst>
        <ext uri="{3e2802c4-a4d2-4d8b-9148-e3be6c30e623}">
          <xlrd:rvb i="1534"/>
        </ext>
      </extLst>
    </bk>
    <bk>
      <extLst>
        <ext uri="{3e2802c4-a4d2-4d8b-9148-e3be6c30e623}">
          <xlrd:rvb i="1535"/>
        </ext>
      </extLst>
    </bk>
    <bk>
      <extLst>
        <ext uri="{3e2802c4-a4d2-4d8b-9148-e3be6c30e623}">
          <xlrd:rvb i="1536"/>
        </ext>
      </extLst>
    </bk>
    <bk>
      <extLst>
        <ext uri="{3e2802c4-a4d2-4d8b-9148-e3be6c30e623}">
          <xlrd:rvb i="1537"/>
        </ext>
      </extLst>
    </bk>
    <bk>
      <extLst>
        <ext uri="{3e2802c4-a4d2-4d8b-9148-e3be6c30e623}">
          <xlrd:rvb i="1538"/>
        </ext>
      </extLst>
    </bk>
    <bk>
      <extLst>
        <ext uri="{3e2802c4-a4d2-4d8b-9148-e3be6c30e623}">
          <xlrd:rvb i="1539"/>
        </ext>
      </extLst>
    </bk>
    <bk>
      <extLst>
        <ext uri="{3e2802c4-a4d2-4d8b-9148-e3be6c30e623}">
          <xlrd:rvb i="1540"/>
        </ext>
      </extLst>
    </bk>
    <bk>
      <extLst>
        <ext uri="{3e2802c4-a4d2-4d8b-9148-e3be6c30e623}">
          <xlrd:rvb i="1541"/>
        </ext>
      </extLst>
    </bk>
    <bk>
      <extLst>
        <ext uri="{3e2802c4-a4d2-4d8b-9148-e3be6c30e623}">
          <xlrd:rvb i="1542"/>
        </ext>
      </extLst>
    </bk>
    <bk>
      <extLst>
        <ext uri="{3e2802c4-a4d2-4d8b-9148-e3be6c30e623}">
          <xlrd:rvb i="1543"/>
        </ext>
      </extLst>
    </bk>
    <bk>
      <extLst>
        <ext uri="{3e2802c4-a4d2-4d8b-9148-e3be6c30e623}">
          <xlrd:rvb i="1544"/>
        </ext>
      </extLst>
    </bk>
    <bk>
      <extLst>
        <ext uri="{3e2802c4-a4d2-4d8b-9148-e3be6c30e623}">
          <xlrd:rvb i="1545"/>
        </ext>
      </extLst>
    </bk>
    <bk>
      <extLst>
        <ext uri="{3e2802c4-a4d2-4d8b-9148-e3be6c30e623}">
          <xlrd:rvb i="1546"/>
        </ext>
      </extLst>
    </bk>
    <bk>
      <extLst>
        <ext uri="{3e2802c4-a4d2-4d8b-9148-e3be6c30e623}">
          <xlrd:rvb i="1547"/>
        </ext>
      </extLst>
    </bk>
    <bk>
      <extLst>
        <ext uri="{3e2802c4-a4d2-4d8b-9148-e3be6c30e623}">
          <xlrd:rvb i="1548"/>
        </ext>
      </extLst>
    </bk>
    <bk>
      <extLst>
        <ext uri="{3e2802c4-a4d2-4d8b-9148-e3be6c30e623}">
          <xlrd:rvb i="1549"/>
        </ext>
      </extLst>
    </bk>
    <bk>
      <extLst>
        <ext uri="{3e2802c4-a4d2-4d8b-9148-e3be6c30e623}">
          <xlrd:rvb i="1550"/>
        </ext>
      </extLst>
    </bk>
    <bk>
      <extLst>
        <ext uri="{3e2802c4-a4d2-4d8b-9148-e3be6c30e623}">
          <xlrd:rvb i="1551"/>
        </ext>
      </extLst>
    </bk>
    <bk>
      <extLst>
        <ext uri="{3e2802c4-a4d2-4d8b-9148-e3be6c30e623}">
          <xlrd:rvb i="1552"/>
        </ext>
      </extLst>
    </bk>
    <bk>
      <extLst>
        <ext uri="{3e2802c4-a4d2-4d8b-9148-e3be6c30e623}">
          <xlrd:rvb i="1553"/>
        </ext>
      </extLst>
    </bk>
    <bk>
      <extLst>
        <ext uri="{3e2802c4-a4d2-4d8b-9148-e3be6c30e623}">
          <xlrd:rvb i="1554"/>
        </ext>
      </extLst>
    </bk>
    <bk>
      <extLst>
        <ext uri="{3e2802c4-a4d2-4d8b-9148-e3be6c30e623}">
          <xlrd:rvb i="1555"/>
        </ext>
      </extLst>
    </bk>
    <bk>
      <extLst>
        <ext uri="{3e2802c4-a4d2-4d8b-9148-e3be6c30e623}">
          <xlrd:rvb i="1556"/>
        </ext>
      </extLst>
    </bk>
    <bk>
      <extLst>
        <ext uri="{3e2802c4-a4d2-4d8b-9148-e3be6c30e623}">
          <xlrd:rvb i="1557"/>
        </ext>
      </extLst>
    </bk>
    <bk>
      <extLst>
        <ext uri="{3e2802c4-a4d2-4d8b-9148-e3be6c30e623}">
          <xlrd:rvb i="1558"/>
        </ext>
      </extLst>
    </bk>
    <bk>
      <extLst>
        <ext uri="{3e2802c4-a4d2-4d8b-9148-e3be6c30e623}">
          <xlrd:rvb i="1559"/>
        </ext>
      </extLst>
    </bk>
    <bk>
      <extLst>
        <ext uri="{3e2802c4-a4d2-4d8b-9148-e3be6c30e623}">
          <xlrd:rvb i="1560"/>
        </ext>
      </extLst>
    </bk>
    <bk>
      <extLst>
        <ext uri="{3e2802c4-a4d2-4d8b-9148-e3be6c30e623}">
          <xlrd:rvb i="1561"/>
        </ext>
      </extLst>
    </bk>
    <bk>
      <extLst>
        <ext uri="{3e2802c4-a4d2-4d8b-9148-e3be6c30e623}">
          <xlrd:rvb i="1562"/>
        </ext>
      </extLst>
    </bk>
    <bk>
      <extLst>
        <ext uri="{3e2802c4-a4d2-4d8b-9148-e3be6c30e623}">
          <xlrd:rvb i="1563"/>
        </ext>
      </extLst>
    </bk>
    <bk>
      <extLst>
        <ext uri="{3e2802c4-a4d2-4d8b-9148-e3be6c30e623}">
          <xlrd:rvb i="1564"/>
        </ext>
      </extLst>
    </bk>
    <bk>
      <extLst>
        <ext uri="{3e2802c4-a4d2-4d8b-9148-e3be6c30e623}">
          <xlrd:rvb i="1565"/>
        </ext>
      </extLst>
    </bk>
    <bk>
      <extLst>
        <ext uri="{3e2802c4-a4d2-4d8b-9148-e3be6c30e623}">
          <xlrd:rvb i="1566"/>
        </ext>
      </extLst>
    </bk>
    <bk>
      <extLst>
        <ext uri="{3e2802c4-a4d2-4d8b-9148-e3be6c30e623}">
          <xlrd:rvb i="1567"/>
        </ext>
      </extLst>
    </bk>
    <bk>
      <extLst>
        <ext uri="{3e2802c4-a4d2-4d8b-9148-e3be6c30e623}">
          <xlrd:rvb i="1568"/>
        </ext>
      </extLst>
    </bk>
    <bk>
      <extLst>
        <ext uri="{3e2802c4-a4d2-4d8b-9148-e3be6c30e623}">
          <xlrd:rvb i="1569"/>
        </ext>
      </extLst>
    </bk>
    <bk>
      <extLst>
        <ext uri="{3e2802c4-a4d2-4d8b-9148-e3be6c30e623}">
          <xlrd:rvb i="1570"/>
        </ext>
      </extLst>
    </bk>
    <bk>
      <extLst>
        <ext uri="{3e2802c4-a4d2-4d8b-9148-e3be6c30e623}">
          <xlrd:rvb i="1571"/>
        </ext>
      </extLst>
    </bk>
    <bk>
      <extLst>
        <ext uri="{3e2802c4-a4d2-4d8b-9148-e3be6c30e623}">
          <xlrd:rvb i="1572"/>
        </ext>
      </extLst>
    </bk>
    <bk>
      <extLst>
        <ext uri="{3e2802c4-a4d2-4d8b-9148-e3be6c30e623}">
          <xlrd:rvb i="1573"/>
        </ext>
      </extLst>
    </bk>
    <bk>
      <extLst>
        <ext uri="{3e2802c4-a4d2-4d8b-9148-e3be6c30e623}">
          <xlrd:rvb i="1574"/>
        </ext>
      </extLst>
    </bk>
    <bk>
      <extLst>
        <ext uri="{3e2802c4-a4d2-4d8b-9148-e3be6c30e623}">
          <xlrd:rvb i="1575"/>
        </ext>
      </extLst>
    </bk>
    <bk>
      <extLst>
        <ext uri="{3e2802c4-a4d2-4d8b-9148-e3be6c30e623}">
          <xlrd:rvb i="1576"/>
        </ext>
      </extLst>
    </bk>
    <bk>
      <extLst>
        <ext uri="{3e2802c4-a4d2-4d8b-9148-e3be6c30e623}">
          <xlrd:rvb i="1577"/>
        </ext>
      </extLst>
    </bk>
    <bk>
      <extLst>
        <ext uri="{3e2802c4-a4d2-4d8b-9148-e3be6c30e623}">
          <xlrd:rvb i="1578"/>
        </ext>
      </extLst>
    </bk>
    <bk>
      <extLst>
        <ext uri="{3e2802c4-a4d2-4d8b-9148-e3be6c30e623}">
          <xlrd:rvb i="1579"/>
        </ext>
      </extLst>
    </bk>
    <bk>
      <extLst>
        <ext uri="{3e2802c4-a4d2-4d8b-9148-e3be6c30e623}">
          <xlrd:rvb i="1580"/>
        </ext>
      </extLst>
    </bk>
    <bk>
      <extLst>
        <ext uri="{3e2802c4-a4d2-4d8b-9148-e3be6c30e623}">
          <xlrd:rvb i="1581"/>
        </ext>
      </extLst>
    </bk>
    <bk>
      <extLst>
        <ext uri="{3e2802c4-a4d2-4d8b-9148-e3be6c30e623}">
          <xlrd:rvb i="1582"/>
        </ext>
      </extLst>
    </bk>
    <bk>
      <extLst>
        <ext uri="{3e2802c4-a4d2-4d8b-9148-e3be6c30e623}">
          <xlrd:rvb i="1583"/>
        </ext>
      </extLst>
    </bk>
    <bk>
      <extLst>
        <ext uri="{3e2802c4-a4d2-4d8b-9148-e3be6c30e623}">
          <xlrd:rvb i="1584"/>
        </ext>
      </extLst>
    </bk>
    <bk>
      <extLst>
        <ext uri="{3e2802c4-a4d2-4d8b-9148-e3be6c30e623}">
          <xlrd:rvb i="1585"/>
        </ext>
      </extLst>
    </bk>
    <bk>
      <extLst>
        <ext uri="{3e2802c4-a4d2-4d8b-9148-e3be6c30e623}">
          <xlrd:rvb i="1586"/>
        </ext>
      </extLst>
    </bk>
    <bk>
      <extLst>
        <ext uri="{3e2802c4-a4d2-4d8b-9148-e3be6c30e623}">
          <xlrd:rvb i="1587"/>
        </ext>
      </extLst>
    </bk>
    <bk>
      <extLst>
        <ext uri="{3e2802c4-a4d2-4d8b-9148-e3be6c30e623}">
          <xlrd:rvb i="1588"/>
        </ext>
      </extLst>
    </bk>
    <bk>
      <extLst>
        <ext uri="{3e2802c4-a4d2-4d8b-9148-e3be6c30e623}">
          <xlrd:rvb i="1589"/>
        </ext>
      </extLst>
    </bk>
    <bk>
      <extLst>
        <ext uri="{3e2802c4-a4d2-4d8b-9148-e3be6c30e623}">
          <xlrd:rvb i="1590"/>
        </ext>
      </extLst>
    </bk>
    <bk>
      <extLst>
        <ext uri="{3e2802c4-a4d2-4d8b-9148-e3be6c30e623}">
          <xlrd:rvb i="1591"/>
        </ext>
      </extLst>
    </bk>
    <bk>
      <extLst>
        <ext uri="{3e2802c4-a4d2-4d8b-9148-e3be6c30e623}">
          <xlrd:rvb i="1592"/>
        </ext>
      </extLst>
    </bk>
    <bk>
      <extLst>
        <ext uri="{3e2802c4-a4d2-4d8b-9148-e3be6c30e623}">
          <xlrd:rvb i="1593"/>
        </ext>
      </extLst>
    </bk>
    <bk>
      <extLst>
        <ext uri="{3e2802c4-a4d2-4d8b-9148-e3be6c30e623}">
          <xlrd:rvb i="1594"/>
        </ext>
      </extLst>
    </bk>
    <bk>
      <extLst>
        <ext uri="{3e2802c4-a4d2-4d8b-9148-e3be6c30e623}">
          <xlrd:rvb i="1595"/>
        </ext>
      </extLst>
    </bk>
    <bk>
      <extLst>
        <ext uri="{3e2802c4-a4d2-4d8b-9148-e3be6c30e623}">
          <xlrd:rvb i="1596"/>
        </ext>
      </extLst>
    </bk>
    <bk>
      <extLst>
        <ext uri="{3e2802c4-a4d2-4d8b-9148-e3be6c30e623}">
          <xlrd:rvb i="1597"/>
        </ext>
      </extLst>
    </bk>
    <bk>
      <extLst>
        <ext uri="{3e2802c4-a4d2-4d8b-9148-e3be6c30e623}">
          <xlrd:rvb i="1598"/>
        </ext>
      </extLst>
    </bk>
    <bk>
      <extLst>
        <ext uri="{3e2802c4-a4d2-4d8b-9148-e3be6c30e623}">
          <xlrd:rvb i="1599"/>
        </ext>
      </extLst>
    </bk>
    <bk>
      <extLst>
        <ext uri="{3e2802c4-a4d2-4d8b-9148-e3be6c30e623}">
          <xlrd:rvb i="1600"/>
        </ext>
      </extLst>
    </bk>
    <bk>
      <extLst>
        <ext uri="{3e2802c4-a4d2-4d8b-9148-e3be6c30e623}">
          <xlrd:rvb i="1601"/>
        </ext>
      </extLst>
    </bk>
    <bk>
      <extLst>
        <ext uri="{3e2802c4-a4d2-4d8b-9148-e3be6c30e623}">
          <xlrd:rvb i="1602"/>
        </ext>
      </extLst>
    </bk>
    <bk>
      <extLst>
        <ext uri="{3e2802c4-a4d2-4d8b-9148-e3be6c30e623}">
          <xlrd:rvb i="1603"/>
        </ext>
      </extLst>
    </bk>
    <bk>
      <extLst>
        <ext uri="{3e2802c4-a4d2-4d8b-9148-e3be6c30e623}">
          <xlrd:rvb i="1604"/>
        </ext>
      </extLst>
    </bk>
    <bk>
      <extLst>
        <ext uri="{3e2802c4-a4d2-4d8b-9148-e3be6c30e623}">
          <xlrd:rvb i="1605"/>
        </ext>
      </extLst>
    </bk>
    <bk>
      <extLst>
        <ext uri="{3e2802c4-a4d2-4d8b-9148-e3be6c30e623}">
          <xlrd:rvb i="1606"/>
        </ext>
      </extLst>
    </bk>
    <bk>
      <extLst>
        <ext uri="{3e2802c4-a4d2-4d8b-9148-e3be6c30e623}">
          <xlrd:rvb i="1607"/>
        </ext>
      </extLst>
    </bk>
    <bk>
      <extLst>
        <ext uri="{3e2802c4-a4d2-4d8b-9148-e3be6c30e623}">
          <xlrd:rvb i="1608"/>
        </ext>
      </extLst>
    </bk>
    <bk>
      <extLst>
        <ext uri="{3e2802c4-a4d2-4d8b-9148-e3be6c30e623}">
          <xlrd:rvb i="1609"/>
        </ext>
      </extLst>
    </bk>
    <bk>
      <extLst>
        <ext uri="{3e2802c4-a4d2-4d8b-9148-e3be6c30e623}">
          <xlrd:rvb i="1610"/>
        </ext>
      </extLst>
    </bk>
    <bk>
      <extLst>
        <ext uri="{3e2802c4-a4d2-4d8b-9148-e3be6c30e623}">
          <xlrd:rvb i="1611"/>
        </ext>
      </extLst>
    </bk>
    <bk>
      <extLst>
        <ext uri="{3e2802c4-a4d2-4d8b-9148-e3be6c30e623}">
          <xlrd:rvb i="1612"/>
        </ext>
      </extLst>
    </bk>
    <bk>
      <extLst>
        <ext uri="{3e2802c4-a4d2-4d8b-9148-e3be6c30e623}">
          <xlrd:rvb i="1613"/>
        </ext>
      </extLst>
    </bk>
    <bk>
      <extLst>
        <ext uri="{3e2802c4-a4d2-4d8b-9148-e3be6c30e623}">
          <xlrd:rvb i="1614"/>
        </ext>
      </extLst>
    </bk>
    <bk>
      <extLst>
        <ext uri="{3e2802c4-a4d2-4d8b-9148-e3be6c30e623}">
          <xlrd:rvb i="1615"/>
        </ext>
      </extLst>
    </bk>
    <bk>
      <extLst>
        <ext uri="{3e2802c4-a4d2-4d8b-9148-e3be6c30e623}">
          <xlrd:rvb i="1616"/>
        </ext>
      </extLst>
    </bk>
    <bk>
      <extLst>
        <ext uri="{3e2802c4-a4d2-4d8b-9148-e3be6c30e623}">
          <xlrd:rvb i="1617"/>
        </ext>
      </extLst>
    </bk>
    <bk>
      <extLst>
        <ext uri="{3e2802c4-a4d2-4d8b-9148-e3be6c30e623}">
          <xlrd:rvb i="1618"/>
        </ext>
      </extLst>
    </bk>
    <bk>
      <extLst>
        <ext uri="{3e2802c4-a4d2-4d8b-9148-e3be6c30e623}">
          <xlrd:rvb i="1619"/>
        </ext>
      </extLst>
    </bk>
    <bk>
      <extLst>
        <ext uri="{3e2802c4-a4d2-4d8b-9148-e3be6c30e623}">
          <xlrd:rvb i="1620"/>
        </ext>
      </extLst>
    </bk>
    <bk>
      <extLst>
        <ext uri="{3e2802c4-a4d2-4d8b-9148-e3be6c30e623}">
          <xlrd:rvb i="1621"/>
        </ext>
      </extLst>
    </bk>
    <bk>
      <extLst>
        <ext uri="{3e2802c4-a4d2-4d8b-9148-e3be6c30e623}">
          <xlrd:rvb i="1622"/>
        </ext>
      </extLst>
    </bk>
    <bk>
      <extLst>
        <ext uri="{3e2802c4-a4d2-4d8b-9148-e3be6c30e623}">
          <xlrd:rvb i="1623"/>
        </ext>
      </extLst>
    </bk>
    <bk>
      <extLst>
        <ext uri="{3e2802c4-a4d2-4d8b-9148-e3be6c30e623}">
          <xlrd:rvb i="1624"/>
        </ext>
      </extLst>
    </bk>
    <bk>
      <extLst>
        <ext uri="{3e2802c4-a4d2-4d8b-9148-e3be6c30e623}">
          <xlrd:rvb i="1625"/>
        </ext>
      </extLst>
    </bk>
    <bk>
      <extLst>
        <ext uri="{3e2802c4-a4d2-4d8b-9148-e3be6c30e623}">
          <xlrd:rvb i="1626"/>
        </ext>
      </extLst>
    </bk>
    <bk>
      <extLst>
        <ext uri="{3e2802c4-a4d2-4d8b-9148-e3be6c30e623}">
          <xlrd:rvb i="1627"/>
        </ext>
      </extLst>
    </bk>
    <bk>
      <extLst>
        <ext uri="{3e2802c4-a4d2-4d8b-9148-e3be6c30e623}">
          <xlrd:rvb i="1628"/>
        </ext>
      </extLst>
    </bk>
    <bk>
      <extLst>
        <ext uri="{3e2802c4-a4d2-4d8b-9148-e3be6c30e623}">
          <xlrd:rvb i="1629"/>
        </ext>
      </extLst>
    </bk>
    <bk>
      <extLst>
        <ext uri="{3e2802c4-a4d2-4d8b-9148-e3be6c30e623}">
          <xlrd:rvb i="1630"/>
        </ext>
      </extLst>
    </bk>
    <bk>
      <extLst>
        <ext uri="{3e2802c4-a4d2-4d8b-9148-e3be6c30e623}">
          <xlrd:rvb i="1631"/>
        </ext>
      </extLst>
    </bk>
    <bk>
      <extLst>
        <ext uri="{3e2802c4-a4d2-4d8b-9148-e3be6c30e623}">
          <xlrd:rvb i="1632"/>
        </ext>
      </extLst>
    </bk>
    <bk>
      <extLst>
        <ext uri="{3e2802c4-a4d2-4d8b-9148-e3be6c30e623}">
          <xlrd:rvb i="1633"/>
        </ext>
      </extLst>
    </bk>
    <bk>
      <extLst>
        <ext uri="{3e2802c4-a4d2-4d8b-9148-e3be6c30e623}">
          <xlrd:rvb i="1634"/>
        </ext>
      </extLst>
    </bk>
    <bk>
      <extLst>
        <ext uri="{3e2802c4-a4d2-4d8b-9148-e3be6c30e623}">
          <xlrd:rvb i="1635"/>
        </ext>
      </extLst>
    </bk>
    <bk>
      <extLst>
        <ext uri="{3e2802c4-a4d2-4d8b-9148-e3be6c30e623}">
          <xlrd:rvb i="1636"/>
        </ext>
      </extLst>
    </bk>
    <bk>
      <extLst>
        <ext uri="{3e2802c4-a4d2-4d8b-9148-e3be6c30e623}">
          <xlrd:rvb i="1637"/>
        </ext>
      </extLst>
    </bk>
    <bk>
      <extLst>
        <ext uri="{3e2802c4-a4d2-4d8b-9148-e3be6c30e623}">
          <xlrd:rvb i="1638"/>
        </ext>
      </extLst>
    </bk>
    <bk>
      <extLst>
        <ext uri="{3e2802c4-a4d2-4d8b-9148-e3be6c30e623}">
          <xlrd:rvb i="1639"/>
        </ext>
      </extLst>
    </bk>
    <bk>
      <extLst>
        <ext uri="{3e2802c4-a4d2-4d8b-9148-e3be6c30e623}">
          <xlrd:rvb i="1640"/>
        </ext>
      </extLst>
    </bk>
    <bk>
      <extLst>
        <ext uri="{3e2802c4-a4d2-4d8b-9148-e3be6c30e623}">
          <xlrd:rvb i="1641"/>
        </ext>
      </extLst>
    </bk>
    <bk>
      <extLst>
        <ext uri="{3e2802c4-a4d2-4d8b-9148-e3be6c30e623}">
          <xlrd:rvb i="1642"/>
        </ext>
      </extLst>
    </bk>
    <bk>
      <extLst>
        <ext uri="{3e2802c4-a4d2-4d8b-9148-e3be6c30e623}">
          <xlrd:rvb i="1643"/>
        </ext>
      </extLst>
    </bk>
    <bk>
      <extLst>
        <ext uri="{3e2802c4-a4d2-4d8b-9148-e3be6c30e623}">
          <xlrd:rvb i="1644"/>
        </ext>
      </extLst>
    </bk>
    <bk>
      <extLst>
        <ext uri="{3e2802c4-a4d2-4d8b-9148-e3be6c30e623}">
          <xlrd:rvb i="1645"/>
        </ext>
      </extLst>
    </bk>
    <bk>
      <extLst>
        <ext uri="{3e2802c4-a4d2-4d8b-9148-e3be6c30e623}">
          <xlrd:rvb i="1646"/>
        </ext>
      </extLst>
    </bk>
    <bk>
      <extLst>
        <ext uri="{3e2802c4-a4d2-4d8b-9148-e3be6c30e623}">
          <xlrd:rvb i="1647"/>
        </ext>
      </extLst>
    </bk>
    <bk>
      <extLst>
        <ext uri="{3e2802c4-a4d2-4d8b-9148-e3be6c30e623}">
          <xlrd:rvb i="1648"/>
        </ext>
      </extLst>
    </bk>
    <bk>
      <extLst>
        <ext uri="{3e2802c4-a4d2-4d8b-9148-e3be6c30e623}">
          <xlrd:rvb i="1649"/>
        </ext>
      </extLst>
    </bk>
    <bk>
      <extLst>
        <ext uri="{3e2802c4-a4d2-4d8b-9148-e3be6c30e623}">
          <xlrd:rvb i="1650"/>
        </ext>
      </extLst>
    </bk>
    <bk>
      <extLst>
        <ext uri="{3e2802c4-a4d2-4d8b-9148-e3be6c30e623}">
          <xlrd:rvb i="1651"/>
        </ext>
      </extLst>
    </bk>
    <bk>
      <extLst>
        <ext uri="{3e2802c4-a4d2-4d8b-9148-e3be6c30e623}">
          <xlrd:rvb i="1652"/>
        </ext>
      </extLst>
    </bk>
    <bk>
      <extLst>
        <ext uri="{3e2802c4-a4d2-4d8b-9148-e3be6c30e623}">
          <xlrd:rvb i="1653"/>
        </ext>
      </extLst>
    </bk>
    <bk>
      <extLst>
        <ext uri="{3e2802c4-a4d2-4d8b-9148-e3be6c30e623}">
          <xlrd:rvb i="1654"/>
        </ext>
      </extLst>
    </bk>
    <bk>
      <extLst>
        <ext uri="{3e2802c4-a4d2-4d8b-9148-e3be6c30e623}">
          <xlrd:rvb i="1655"/>
        </ext>
      </extLst>
    </bk>
    <bk>
      <extLst>
        <ext uri="{3e2802c4-a4d2-4d8b-9148-e3be6c30e623}">
          <xlrd:rvb i="1656"/>
        </ext>
      </extLst>
    </bk>
    <bk>
      <extLst>
        <ext uri="{3e2802c4-a4d2-4d8b-9148-e3be6c30e623}">
          <xlrd:rvb i="1657"/>
        </ext>
      </extLst>
    </bk>
    <bk>
      <extLst>
        <ext uri="{3e2802c4-a4d2-4d8b-9148-e3be6c30e623}">
          <xlrd:rvb i="1658"/>
        </ext>
      </extLst>
    </bk>
    <bk>
      <extLst>
        <ext uri="{3e2802c4-a4d2-4d8b-9148-e3be6c30e623}">
          <xlrd:rvb i="1659"/>
        </ext>
      </extLst>
    </bk>
    <bk>
      <extLst>
        <ext uri="{3e2802c4-a4d2-4d8b-9148-e3be6c30e623}">
          <xlrd:rvb i="1660"/>
        </ext>
      </extLst>
    </bk>
    <bk>
      <extLst>
        <ext uri="{3e2802c4-a4d2-4d8b-9148-e3be6c30e623}">
          <xlrd:rvb i="1661"/>
        </ext>
      </extLst>
    </bk>
    <bk>
      <extLst>
        <ext uri="{3e2802c4-a4d2-4d8b-9148-e3be6c30e623}">
          <xlrd:rvb i="1662"/>
        </ext>
      </extLst>
    </bk>
    <bk>
      <extLst>
        <ext uri="{3e2802c4-a4d2-4d8b-9148-e3be6c30e623}">
          <xlrd:rvb i="1663"/>
        </ext>
      </extLst>
    </bk>
    <bk>
      <extLst>
        <ext uri="{3e2802c4-a4d2-4d8b-9148-e3be6c30e623}">
          <xlrd:rvb i="1664"/>
        </ext>
      </extLst>
    </bk>
    <bk>
      <extLst>
        <ext uri="{3e2802c4-a4d2-4d8b-9148-e3be6c30e623}">
          <xlrd:rvb i="1665"/>
        </ext>
      </extLst>
    </bk>
    <bk>
      <extLst>
        <ext uri="{3e2802c4-a4d2-4d8b-9148-e3be6c30e623}">
          <xlrd:rvb i="1666"/>
        </ext>
      </extLst>
    </bk>
    <bk>
      <extLst>
        <ext uri="{3e2802c4-a4d2-4d8b-9148-e3be6c30e623}">
          <xlrd:rvb i="1667"/>
        </ext>
      </extLst>
    </bk>
    <bk>
      <extLst>
        <ext uri="{3e2802c4-a4d2-4d8b-9148-e3be6c30e623}">
          <xlrd:rvb i="1668"/>
        </ext>
      </extLst>
    </bk>
    <bk>
      <extLst>
        <ext uri="{3e2802c4-a4d2-4d8b-9148-e3be6c30e623}">
          <xlrd:rvb i="1669"/>
        </ext>
      </extLst>
    </bk>
    <bk>
      <extLst>
        <ext uri="{3e2802c4-a4d2-4d8b-9148-e3be6c30e623}">
          <xlrd:rvb i="1670"/>
        </ext>
      </extLst>
    </bk>
    <bk>
      <extLst>
        <ext uri="{3e2802c4-a4d2-4d8b-9148-e3be6c30e623}">
          <xlrd:rvb i="1671"/>
        </ext>
      </extLst>
    </bk>
    <bk>
      <extLst>
        <ext uri="{3e2802c4-a4d2-4d8b-9148-e3be6c30e623}">
          <xlrd:rvb i="1672"/>
        </ext>
      </extLst>
    </bk>
    <bk>
      <extLst>
        <ext uri="{3e2802c4-a4d2-4d8b-9148-e3be6c30e623}">
          <xlrd:rvb i="1673"/>
        </ext>
      </extLst>
    </bk>
    <bk>
      <extLst>
        <ext uri="{3e2802c4-a4d2-4d8b-9148-e3be6c30e623}">
          <xlrd:rvb i="1674"/>
        </ext>
      </extLst>
    </bk>
    <bk>
      <extLst>
        <ext uri="{3e2802c4-a4d2-4d8b-9148-e3be6c30e623}">
          <xlrd:rvb i="1675"/>
        </ext>
      </extLst>
    </bk>
    <bk>
      <extLst>
        <ext uri="{3e2802c4-a4d2-4d8b-9148-e3be6c30e623}">
          <xlrd:rvb i="1676"/>
        </ext>
      </extLst>
    </bk>
    <bk>
      <extLst>
        <ext uri="{3e2802c4-a4d2-4d8b-9148-e3be6c30e623}">
          <xlrd:rvb i="1677"/>
        </ext>
      </extLst>
    </bk>
    <bk>
      <extLst>
        <ext uri="{3e2802c4-a4d2-4d8b-9148-e3be6c30e623}">
          <xlrd:rvb i="1678"/>
        </ext>
      </extLst>
    </bk>
    <bk>
      <extLst>
        <ext uri="{3e2802c4-a4d2-4d8b-9148-e3be6c30e623}">
          <xlrd:rvb i="1679"/>
        </ext>
      </extLst>
    </bk>
    <bk>
      <extLst>
        <ext uri="{3e2802c4-a4d2-4d8b-9148-e3be6c30e623}">
          <xlrd:rvb i="1680"/>
        </ext>
      </extLst>
    </bk>
    <bk>
      <extLst>
        <ext uri="{3e2802c4-a4d2-4d8b-9148-e3be6c30e623}">
          <xlrd:rvb i="1681"/>
        </ext>
      </extLst>
    </bk>
    <bk>
      <extLst>
        <ext uri="{3e2802c4-a4d2-4d8b-9148-e3be6c30e623}">
          <xlrd:rvb i="1682"/>
        </ext>
      </extLst>
    </bk>
    <bk>
      <extLst>
        <ext uri="{3e2802c4-a4d2-4d8b-9148-e3be6c30e623}">
          <xlrd:rvb i="1683"/>
        </ext>
      </extLst>
    </bk>
    <bk>
      <extLst>
        <ext uri="{3e2802c4-a4d2-4d8b-9148-e3be6c30e623}">
          <xlrd:rvb i="1684"/>
        </ext>
      </extLst>
    </bk>
    <bk>
      <extLst>
        <ext uri="{3e2802c4-a4d2-4d8b-9148-e3be6c30e623}">
          <xlrd:rvb i="1685"/>
        </ext>
      </extLst>
    </bk>
    <bk>
      <extLst>
        <ext uri="{3e2802c4-a4d2-4d8b-9148-e3be6c30e623}">
          <xlrd:rvb i="1686"/>
        </ext>
      </extLst>
    </bk>
    <bk>
      <extLst>
        <ext uri="{3e2802c4-a4d2-4d8b-9148-e3be6c30e623}">
          <xlrd:rvb i="1687"/>
        </ext>
      </extLst>
    </bk>
    <bk>
      <extLst>
        <ext uri="{3e2802c4-a4d2-4d8b-9148-e3be6c30e623}">
          <xlrd:rvb i="1688"/>
        </ext>
      </extLst>
    </bk>
    <bk>
      <extLst>
        <ext uri="{3e2802c4-a4d2-4d8b-9148-e3be6c30e623}">
          <xlrd:rvb i="1689"/>
        </ext>
      </extLst>
    </bk>
    <bk>
      <extLst>
        <ext uri="{3e2802c4-a4d2-4d8b-9148-e3be6c30e623}">
          <xlrd:rvb i="1690"/>
        </ext>
      </extLst>
    </bk>
    <bk>
      <extLst>
        <ext uri="{3e2802c4-a4d2-4d8b-9148-e3be6c30e623}">
          <xlrd:rvb i="1691"/>
        </ext>
      </extLst>
    </bk>
    <bk>
      <extLst>
        <ext uri="{3e2802c4-a4d2-4d8b-9148-e3be6c30e623}">
          <xlrd:rvb i="1692"/>
        </ext>
      </extLst>
    </bk>
    <bk>
      <extLst>
        <ext uri="{3e2802c4-a4d2-4d8b-9148-e3be6c30e623}">
          <xlrd:rvb i="1693"/>
        </ext>
      </extLst>
    </bk>
    <bk>
      <extLst>
        <ext uri="{3e2802c4-a4d2-4d8b-9148-e3be6c30e623}">
          <xlrd:rvb i="1694"/>
        </ext>
      </extLst>
    </bk>
    <bk>
      <extLst>
        <ext uri="{3e2802c4-a4d2-4d8b-9148-e3be6c30e623}">
          <xlrd:rvb i="1695"/>
        </ext>
      </extLst>
    </bk>
    <bk>
      <extLst>
        <ext uri="{3e2802c4-a4d2-4d8b-9148-e3be6c30e623}">
          <xlrd:rvb i="1696"/>
        </ext>
      </extLst>
    </bk>
    <bk>
      <extLst>
        <ext uri="{3e2802c4-a4d2-4d8b-9148-e3be6c30e623}">
          <xlrd:rvb i="1697"/>
        </ext>
      </extLst>
    </bk>
    <bk>
      <extLst>
        <ext uri="{3e2802c4-a4d2-4d8b-9148-e3be6c30e623}">
          <xlrd:rvb i="1698"/>
        </ext>
      </extLst>
    </bk>
    <bk>
      <extLst>
        <ext uri="{3e2802c4-a4d2-4d8b-9148-e3be6c30e623}">
          <xlrd:rvb i="1699"/>
        </ext>
      </extLst>
    </bk>
    <bk>
      <extLst>
        <ext uri="{3e2802c4-a4d2-4d8b-9148-e3be6c30e623}">
          <xlrd:rvb i="1700"/>
        </ext>
      </extLst>
    </bk>
    <bk>
      <extLst>
        <ext uri="{3e2802c4-a4d2-4d8b-9148-e3be6c30e623}">
          <xlrd:rvb i="1701"/>
        </ext>
      </extLst>
    </bk>
    <bk>
      <extLst>
        <ext uri="{3e2802c4-a4d2-4d8b-9148-e3be6c30e623}">
          <xlrd:rvb i="1704"/>
        </ext>
      </extLst>
    </bk>
    <bk>
      <extLst>
        <ext uri="{3e2802c4-a4d2-4d8b-9148-e3be6c30e623}">
          <xlrd:rvb i="1705"/>
        </ext>
      </extLst>
    </bk>
    <bk>
      <extLst>
        <ext uri="{3e2802c4-a4d2-4d8b-9148-e3be6c30e623}">
          <xlrd:rvb i="1706"/>
        </ext>
      </extLst>
    </bk>
    <bk>
      <extLst>
        <ext uri="{3e2802c4-a4d2-4d8b-9148-e3be6c30e623}">
          <xlrd:rvb i="1707"/>
        </ext>
      </extLst>
    </bk>
    <bk>
      <extLst>
        <ext uri="{3e2802c4-a4d2-4d8b-9148-e3be6c30e623}">
          <xlrd:rvb i="1708"/>
        </ext>
      </extLst>
    </bk>
    <bk>
      <extLst>
        <ext uri="{3e2802c4-a4d2-4d8b-9148-e3be6c30e623}">
          <xlrd:rvb i="1709"/>
        </ext>
      </extLst>
    </bk>
    <bk>
      <extLst>
        <ext uri="{3e2802c4-a4d2-4d8b-9148-e3be6c30e623}">
          <xlrd:rvb i="1710"/>
        </ext>
      </extLst>
    </bk>
    <bk>
      <extLst>
        <ext uri="{3e2802c4-a4d2-4d8b-9148-e3be6c30e623}">
          <xlrd:rvb i="1711"/>
        </ext>
      </extLst>
    </bk>
    <bk>
      <extLst>
        <ext uri="{3e2802c4-a4d2-4d8b-9148-e3be6c30e623}">
          <xlrd:rvb i="1712"/>
        </ext>
      </extLst>
    </bk>
    <bk>
      <extLst>
        <ext uri="{3e2802c4-a4d2-4d8b-9148-e3be6c30e623}">
          <xlrd:rvb i="1713"/>
        </ext>
      </extLst>
    </bk>
    <bk>
      <extLst>
        <ext uri="{3e2802c4-a4d2-4d8b-9148-e3be6c30e623}">
          <xlrd:rvb i="1714"/>
        </ext>
      </extLst>
    </bk>
    <bk>
      <extLst>
        <ext uri="{3e2802c4-a4d2-4d8b-9148-e3be6c30e623}">
          <xlrd:rvb i="1715"/>
        </ext>
      </extLst>
    </bk>
    <bk>
      <extLst>
        <ext uri="{3e2802c4-a4d2-4d8b-9148-e3be6c30e623}">
          <xlrd:rvb i="1716"/>
        </ext>
      </extLst>
    </bk>
    <bk>
      <extLst>
        <ext uri="{3e2802c4-a4d2-4d8b-9148-e3be6c30e623}">
          <xlrd:rvb i="1717"/>
        </ext>
      </extLst>
    </bk>
    <bk>
      <extLst>
        <ext uri="{3e2802c4-a4d2-4d8b-9148-e3be6c30e623}">
          <xlrd:rvb i="1718"/>
        </ext>
      </extLst>
    </bk>
    <bk>
      <extLst>
        <ext uri="{3e2802c4-a4d2-4d8b-9148-e3be6c30e623}">
          <xlrd:rvb i="1719"/>
        </ext>
      </extLst>
    </bk>
    <bk>
      <extLst>
        <ext uri="{3e2802c4-a4d2-4d8b-9148-e3be6c30e623}">
          <xlrd:rvb i="1720"/>
        </ext>
      </extLst>
    </bk>
    <bk>
      <extLst>
        <ext uri="{3e2802c4-a4d2-4d8b-9148-e3be6c30e623}">
          <xlrd:rvb i="1721"/>
        </ext>
      </extLst>
    </bk>
    <bk>
      <extLst>
        <ext uri="{3e2802c4-a4d2-4d8b-9148-e3be6c30e623}">
          <xlrd:rvb i="1722"/>
        </ext>
      </extLst>
    </bk>
    <bk>
      <extLst>
        <ext uri="{3e2802c4-a4d2-4d8b-9148-e3be6c30e623}">
          <xlrd:rvb i="1723"/>
        </ext>
      </extLst>
    </bk>
    <bk>
      <extLst>
        <ext uri="{3e2802c4-a4d2-4d8b-9148-e3be6c30e623}">
          <xlrd:rvb i="1724"/>
        </ext>
      </extLst>
    </bk>
    <bk>
      <extLst>
        <ext uri="{3e2802c4-a4d2-4d8b-9148-e3be6c30e623}">
          <xlrd:rvb i="1725"/>
        </ext>
      </extLst>
    </bk>
    <bk>
      <extLst>
        <ext uri="{3e2802c4-a4d2-4d8b-9148-e3be6c30e623}">
          <xlrd:rvb i="1726"/>
        </ext>
      </extLst>
    </bk>
    <bk>
      <extLst>
        <ext uri="{3e2802c4-a4d2-4d8b-9148-e3be6c30e623}">
          <xlrd:rvb i="1727"/>
        </ext>
      </extLst>
    </bk>
    <bk>
      <extLst>
        <ext uri="{3e2802c4-a4d2-4d8b-9148-e3be6c30e623}">
          <xlrd:rvb i="1728"/>
        </ext>
      </extLst>
    </bk>
    <bk>
      <extLst>
        <ext uri="{3e2802c4-a4d2-4d8b-9148-e3be6c30e623}">
          <xlrd:rvb i="1729"/>
        </ext>
      </extLst>
    </bk>
    <bk>
      <extLst>
        <ext uri="{3e2802c4-a4d2-4d8b-9148-e3be6c30e623}">
          <xlrd:rvb i="1730"/>
        </ext>
      </extLst>
    </bk>
    <bk>
      <extLst>
        <ext uri="{3e2802c4-a4d2-4d8b-9148-e3be6c30e623}">
          <xlrd:rvb i="1731"/>
        </ext>
      </extLst>
    </bk>
    <bk>
      <extLst>
        <ext uri="{3e2802c4-a4d2-4d8b-9148-e3be6c30e623}">
          <xlrd:rvb i="1732"/>
        </ext>
      </extLst>
    </bk>
    <bk>
      <extLst>
        <ext uri="{3e2802c4-a4d2-4d8b-9148-e3be6c30e623}">
          <xlrd:rvb i="1733"/>
        </ext>
      </extLst>
    </bk>
    <bk>
      <extLst>
        <ext uri="{3e2802c4-a4d2-4d8b-9148-e3be6c30e623}">
          <xlrd:rvb i="1734"/>
        </ext>
      </extLst>
    </bk>
    <bk>
      <extLst>
        <ext uri="{3e2802c4-a4d2-4d8b-9148-e3be6c30e623}">
          <xlrd:rvb i="1735"/>
        </ext>
      </extLst>
    </bk>
    <bk>
      <extLst>
        <ext uri="{3e2802c4-a4d2-4d8b-9148-e3be6c30e623}">
          <xlrd:rvb i="1736"/>
        </ext>
      </extLst>
    </bk>
    <bk>
      <extLst>
        <ext uri="{3e2802c4-a4d2-4d8b-9148-e3be6c30e623}">
          <xlrd:rvb i="1737"/>
        </ext>
      </extLst>
    </bk>
    <bk>
      <extLst>
        <ext uri="{3e2802c4-a4d2-4d8b-9148-e3be6c30e623}">
          <xlrd:rvb i="1738"/>
        </ext>
      </extLst>
    </bk>
    <bk>
      <extLst>
        <ext uri="{3e2802c4-a4d2-4d8b-9148-e3be6c30e623}">
          <xlrd:rvb i="1739"/>
        </ext>
      </extLst>
    </bk>
    <bk>
      <extLst>
        <ext uri="{3e2802c4-a4d2-4d8b-9148-e3be6c30e623}">
          <xlrd:rvb i="1740"/>
        </ext>
      </extLst>
    </bk>
    <bk>
      <extLst>
        <ext uri="{3e2802c4-a4d2-4d8b-9148-e3be6c30e623}">
          <xlrd:rvb i="1741"/>
        </ext>
      </extLst>
    </bk>
    <bk>
      <extLst>
        <ext uri="{3e2802c4-a4d2-4d8b-9148-e3be6c30e623}">
          <xlrd:rvb i="1742"/>
        </ext>
      </extLst>
    </bk>
    <bk>
      <extLst>
        <ext uri="{3e2802c4-a4d2-4d8b-9148-e3be6c30e623}">
          <xlrd:rvb i="1743"/>
        </ext>
      </extLst>
    </bk>
    <bk>
      <extLst>
        <ext uri="{3e2802c4-a4d2-4d8b-9148-e3be6c30e623}">
          <xlrd:rvb i="1744"/>
        </ext>
      </extLst>
    </bk>
    <bk>
      <extLst>
        <ext uri="{3e2802c4-a4d2-4d8b-9148-e3be6c30e623}">
          <xlrd:rvb i="1745"/>
        </ext>
      </extLst>
    </bk>
    <bk>
      <extLst>
        <ext uri="{3e2802c4-a4d2-4d8b-9148-e3be6c30e623}">
          <xlrd:rvb i="1746"/>
        </ext>
      </extLst>
    </bk>
    <bk>
      <extLst>
        <ext uri="{3e2802c4-a4d2-4d8b-9148-e3be6c30e623}">
          <xlrd:rvb i="1747"/>
        </ext>
      </extLst>
    </bk>
    <bk>
      <extLst>
        <ext uri="{3e2802c4-a4d2-4d8b-9148-e3be6c30e623}">
          <xlrd:rvb i="1748"/>
        </ext>
      </extLst>
    </bk>
    <bk>
      <extLst>
        <ext uri="{3e2802c4-a4d2-4d8b-9148-e3be6c30e623}">
          <xlrd:rvb i="1749"/>
        </ext>
      </extLst>
    </bk>
    <bk>
      <extLst>
        <ext uri="{3e2802c4-a4d2-4d8b-9148-e3be6c30e623}">
          <xlrd:rvb i="1750"/>
        </ext>
      </extLst>
    </bk>
    <bk>
      <extLst>
        <ext uri="{3e2802c4-a4d2-4d8b-9148-e3be6c30e623}">
          <xlrd:rvb i="1751"/>
        </ext>
      </extLst>
    </bk>
    <bk>
      <extLst>
        <ext uri="{3e2802c4-a4d2-4d8b-9148-e3be6c30e623}">
          <xlrd:rvb i="1752"/>
        </ext>
      </extLst>
    </bk>
    <bk>
      <extLst>
        <ext uri="{3e2802c4-a4d2-4d8b-9148-e3be6c30e623}">
          <xlrd:rvb i="1753"/>
        </ext>
      </extLst>
    </bk>
    <bk>
      <extLst>
        <ext uri="{3e2802c4-a4d2-4d8b-9148-e3be6c30e623}">
          <xlrd:rvb i="1754"/>
        </ext>
      </extLst>
    </bk>
    <bk>
      <extLst>
        <ext uri="{3e2802c4-a4d2-4d8b-9148-e3be6c30e623}">
          <xlrd:rvb i="1755"/>
        </ext>
      </extLst>
    </bk>
    <bk>
      <extLst>
        <ext uri="{3e2802c4-a4d2-4d8b-9148-e3be6c30e623}">
          <xlrd:rvb i="1756"/>
        </ext>
      </extLst>
    </bk>
    <bk>
      <extLst>
        <ext uri="{3e2802c4-a4d2-4d8b-9148-e3be6c30e623}">
          <xlrd:rvb i="1757"/>
        </ext>
      </extLst>
    </bk>
    <bk>
      <extLst>
        <ext uri="{3e2802c4-a4d2-4d8b-9148-e3be6c30e623}">
          <xlrd:rvb i="1758"/>
        </ext>
      </extLst>
    </bk>
    <bk>
      <extLst>
        <ext uri="{3e2802c4-a4d2-4d8b-9148-e3be6c30e623}">
          <xlrd:rvb i="1759"/>
        </ext>
      </extLst>
    </bk>
    <bk>
      <extLst>
        <ext uri="{3e2802c4-a4d2-4d8b-9148-e3be6c30e623}">
          <xlrd:rvb i="1760"/>
        </ext>
      </extLst>
    </bk>
    <bk>
      <extLst>
        <ext uri="{3e2802c4-a4d2-4d8b-9148-e3be6c30e623}">
          <xlrd:rvb i="1761"/>
        </ext>
      </extLst>
    </bk>
    <bk>
      <extLst>
        <ext uri="{3e2802c4-a4d2-4d8b-9148-e3be6c30e623}">
          <xlrd:rvb i="1762"/>
        </ext>
      </extLst>
    </bk>
    <bk>
      <extLst>
        <ext uri="{3e2802c4-a4d2-4d8b-9148-e3be6c30e623}">
          <xlrd:rvb i="1763"/>
        </ext>
      </extLst>
    </bk>
    <bk>
      <extLst>
        <ext uri="{3e2802c4-a4d2-4d8b-9148-e3be6c30e623}">
          <xlrd:rvb i="1764"/>
        </ext>
      </extLst>
    </bk>
    <bk>
      <extLst>
        <ext uri="{3e2802c4-a4d2-4d8b-9148-e3be6c30e623}">
          <xlrd:rvb i="1765"/>
        </ext>
      </extLst>
    </bk>
    <bk>
      <extLst>
        <ext uri="{3e2802c4-a4d2-4d8b-9148-e3be6c30e623}">
          <xlrd:rvb i="1766"/>
        </ext>
      </extLst>
    </bk>
    <bk>
      <extLst>
        <ext uri="{3e2802c4-a4d2-4d8b-9148-e3be6c30e623}">
          <xlrd:rvb i="1767"/>
        </ext>
      </extLst>
    </bk>
    <bk>
      <extLst>
        <ext uri="{3e2802c4-a4d2-4d8b-9148-e3be6c30e623}">
          <xlrd:rvb i="1768"/>
        </ext>
      </extLst>
    </bk>
    <bk>
      <extLst>
        <ext uri="{3e2802c4-a4d2-4d8b-9148-e3be6c30e623}">
          <xlrd:rvb i="1769"/>
        </ext>
      </extLst>
    </bk>
    <bk>
      <extLst>
        <ext uri="{3e2802c4-a4d2-4d8b-9148-e3be6c30e623}">
          <xlrd:rvb i="1770"/>
        </ext>
      </extLst>
    </bk>
    <bk>
      <extLst>
        <ext uri="{3e2802c4-a4d2-4d8b-9148-e3be6c30e623}">
          <xlrd:rvb i="1771"/>
        </ext>
      </extLst>
    </bk>
    <bk>
      <extLst>
        <ext uri="{3e2802c4-a4d2-4d8b-9148-e3be6c30e623}">
          <xlrd:rvb i="1772"/>
        </ext>
      </extLst>
    </bk>
    <bk>
      <extLst>
        <ext uri="{3e2802c4-a4d2-4d8b-9148-e3be6c30e623}">
          <xlrd:rvb i="1773"/>
        </ext>
      </extLst>
    </bk>
    <bk>
      <extLst>
        <ext uri="{3e2802c4-a4d2-4d8b-9148-e3be6c30e623}">
          <xlrd:rvb i="1774"/>
        </ext>
      </extLst>
    </bk>
    <bk>
      <extLst>
        <ext uri="{3e2802c4-a4d2-4d8b-9148-e3be6c30e623}">
          <xlrd:rvb i="1775"/>
        </ext>
      </extLst>
    </bk>
    <bk>
      <extLst>
        <ext uri="{3e2802c4-a4d2-4d8b-9148-e3be6c30e623}">
          <xlrd:rvb i="1776"/>
        </ext>
      </extLst>
    </bk>
    <bk>
      <extLst>
        <ext uri="{3e2802c4-a4d2-4d8b-9148-e3be6c30e623}">
          <xlrd:rvb i="1777"/>
        </ext>
      </extLst>
    </bk>
    <bk>
      <extLst>
        <ext uri="{3e2802c4-a4d2-4d8b-9148-e3be6c30e623}">
          <xlrd:rvb i="1778"/>
        </ext>
      </extLst>
    </bk>
    <bk>
      <extLst>
        <ext uri="{3e2802c4-a4d2-4d8b-9148-e3be6c30e623}">
          <xlrd:rvb i="1779"/>
        </ext>
      </extLst>
    </bk>
    <bk>
      <extLst>
        <ext uri="{3e2802c4-a4d2-4d8b-9148-e3be6c30e623}">
          <xlrd:rvb i="1780"/>
        </ext>
      </extLst>
    </bk>
    <bk>
      <extLst>
        <ext uri="{3e2802c4-a4d2-4d8b-9148-e3be6c30e623}">
          <xlrd:rvb i="1781"/>
        </ext>
      </extLst>
    </bk>
    <bk>
      <extLst>
        <ext uri="{3e2802c4-a4d2-4d8b-9148-e3be6c30e623}">
          <xlrd:rvb i="1782"/>
        </ext>
      </extLst>
    </bk>
    <bk>
      <extLst>
        <ext uri="{3e2802c4-a4d2-4d8b-9148-e3be6c30e623}">
          <xlrd:rvb i="1783"/>
        </ext>
      </extLst>
    </bk>
    <bk>
      <extLst>
        <ext uri="{3e2802c4-a4d2-4d8b-9148-e3be6c30e623}">
          <xlrd:rvb i="1784"/>
        </ext>
      </extLst>
    </bk>
    <bk>
      <extLst>
        <ext uri="{3e2802c4-a4d2-4d8b-9148-e3be6c30e623}">
          <xlrd:rvb i="1785"/>
        </ext>
      </extLst>
    </bk>
    <bk>
      <extLst>
        <ext uri="{3e2802c4-a4d2-4d8b-9148-e3be6c30e623}">
          <xlrd:rvb i="1786"/>
        </ext>
      </extLst>
    </bk>
    <bk>
      <extLst>
        <ext uri="{3e2802c4-a4d2-4d8b-9148-e3be6c30e623}">
          <xlrd:rvb i="1787"/>
        </ext>
      </extLst>
    </bk>
    <bk>
      <extLst>
        <ext uri="{3e2802c4-a4d2-4d8b-9148-e3be6c30e623}">
          <xlrd:rvb i="1788"/>
        </ext>
      </extLst>
    </bk>
    <bk>
      <extLst>
        <ext uri="{3e2802c4-a4d2-4d8b-9148-e3be6c30e623}">
          <xlrd:rvb i="1789"/>
        </ext>
      </extLst>
    </bk>
    <bk>
      <extLst>
        <ext uri="{3e2802c4-a4d2-4d8b-9148-e3be6c30e623}">
          <xlrd:rvb i="1790"/>
        </ext>
      </extLst>
    </bk>
    <bk>
      <extLst>
        <ext uri="{3e2802c4-a4d2-4d8b-9148-e3be6c30e623}">
          <xlrd:rvb i="1791"/>
        </ext>
      </extLst>
    </bk>
    <bk>
      <extLst>
        <ext uri="{3e2802c4-a4d2-4d8b-9148-e3be6c30e623}">
          <xlrd:rvb i="1792"/>
        </ext>
      </extLst>
    </bk>
    <bk>
      <extLst>
        <ext uri="{3e2802c4-a4d2-4d8b-9148-e3be6c30e623}">
          <xlrd:rvb i="1793"/>
        </ext>
      </extLst>
    </bk>
    <bk>
      <extLst>
        <ext uri="{3e2802c4-a4d2-4d8b-9148-e3be6c30e623}">
          <xlrd:rvb i="1794"/>
        </ext>
      </extLst>
    </bk>
    <bk>
      <extLst>
        <ext uri="{3e2802c4-a4d2-4d8b-9148-e3be6c30e623}">
          <xlrd:rvb i="1795"/>
        </ext>
      </extLst>
    </bk>
    <bk>
      <extLst>
        <ext uri="{3e2802c4-a4d2-4d8b-9148-e3be6c30e623}">
          <xlrd:rvb i="1796"/>
        </ext>
      </extLst>
    </bk>
    <bk>
      <extLst>
        <ext uri="{3e2802c4-a4d2-4d8b-9148-e3be6c30e623}">
          <xlrd:rvb i="1797"/>
        </ext>
      </extLst>
    </bk>
    <bk>
      <extLst>
        <ext uri="{3e2802c4-a4d2-4d8b-9148-e3be6c30e623}">
          <xlrd:rvb i="1798"/>
        </ext>
      </extLst>
    </bk>
    <bk>
      <extLst>
        <ext uri="{3e2802c4-a4d2-4d8b-9148-e3be6c30e623}">
          <xlrd:rvb i="1799"/>
        </ext>
      </extLst>
    </bk>
    <bk>
      <extLst>
        <ext uri="{3e2802c4-a4d2-4d8b-9148-e3be6c30e623}">
          <xlrd:rvb i="1800"/>
        </ext>
      </extLst>
    </bk>
    <bk>
      <extLst>
        <ext uri="{3e2802c4-a4d2-4d8b-9148-e3be6c30e623}">
          <xlrd:rvb i="1801"/>
        </ext>
      </extLst>
    </bk>
    <bk>
      <extLst>
        <ext uri="{3e2802c4-a4d2-4d8b-9148-e3be6c30e623}">
          <xlrd:rvb i="1802"/>
        </ext>
      </extLst>
    </bk>
    <bk>
      <extLst>
        <ext uri="{3e2802c4-a4d2-4d8b-9148-e3be6c30e623}">
          <xlrd:rvb i="1803"/>
        </ext>
      </extLst>
    </bk>
    <bk>
      <extLst>
        <ext uri="{3e2802c4-a4d2-4d8b-9148-e3be6c30e623}">
          <xlrd:rvb i="1804"/>
        </ext>
      </extLst>
    </bk>
    <bk>
      <extLst>
        <ext uri="{3e2802c4-a4d2-4d8b-9148-e3be6c30e623}">
          <xlrd:rvb i="1805"/>
        </ext>
      </extLst>
    </bk>
    <bk>
      <extLst>
        <ext uri="{3e2802c4-a4d2-4d8b-9148-e3be6c30e623}">
          <xlrd:rvb i="1806"/>
        </ext>
      </extLst>
    </bk>
    <bk>
      <extLst>
        <ext uri="{3e2802c4-a4d2-4d8b-9148-e3be6c30e623}">
          <xlrd:rvb i="1807"/>
        </ext>
      </extLst>
    </bk>
    <bk>
      <extLst>
        <ext uri="{3e2802c4-a4d2-4d8b-9148-e3be6c30e623}">
          <xlrd:rvb i="1808"/>
        </ext>
      </extLst>
    </bk>
    <bk>
      <extLst>
        <ext uri="{3e2802c4-a4d2-4d8b-9148-e3be6c30e623}">
          <xlrd:rvb i="1809"/>
        </ext>
      </extLst>
    </bk>
    <bk>
      <extLst>
        <ext uri="{3e2802c4-a4d2-4d8b-9148-e3be6c30e623}">
          <xlrd:rvb i="1810"/>
        </ext>
      </extLst>
    </bk>
    <bk>
      <extLst>
        <ext uri="{3e2802c4-a4d2-4d8b-9148-e3be6c30e623}">
          <xlrd:rvb i="1811"/>
        </ext>
      </extLst>
    </bk>
    <bk>
      <extLst>
        <ext uri="{3e2802c4-a4d2-4d8b-9148-e3be6c30e623}">
          <xlrd:rvb i="1812"/>
        </ext>
      </extLst>
    </bk>
    <bk>
      <extLst>
        <ext uri="{3e2802c4-a4d2-4d8b-9148-e3be6c30e623}">
          <xlrd:rvb i="1813"/>
        </ext>
      </extLst>
    </bk>
    <bk>
      <extLst>
        <ext uri="{3e2802c4-a4d2-4d8b-9148-e3be6c30e623}">
          <xlrd:rvb i="1814"/>
        </ext>
      </extLst>
    </bk>
    <bk>
      <extLst>
        <ext uri="{3e2802c4-a4d2-4d8b-9148-e3be6c30e623}">
          <xlrd:rvb i="1815"/>
        </ext>
      </extLst>
    </bk>
    <bk>
      <extLst>
        <ext uri="{3e2802c4-a4d2-4d8b-9148-e3be6c30e623}">
          <xlrd:rvb i="1816"/>
        </ext>
      </extLst>
    </bk>
    <bk>
      <extLst>
        <ext uri="{3e2802c4-a4d2-4d8b-9148-e3be6c30e623}">
          <xlrd:rvb i="1817"/>
        </ext>
      </extLst>
    </bk>
    <bk>
      <extLst>
        <ext uri="{3e2802c4-a4d2-4d8b-9148-e3be6c30e623}">
          <xlrd:rvb i="1818"/>
        </ext>
      </extLst>
    </bk>
    <bk>
      <extLst>
        <ext uri="{3e2802c4-a4d2-4d8b-9148-e3be6c30e623}">
          <xlrd:rvb i="1819"/>
        </ext>
      </extLst>
    </bk>
    <bk>
      <extLst>
        <ext uri="{3e2802c4-a4d2-4d8b-9148-e3be6c30e623}">
          <xlrd:rvb i="1820"/>
        </ext>
      </extLst>
    </bk>
    <bk>
      <extLst>
        <ext uri="{3e2802c4-a4d2-4d8b-9148-e3be6c30e623}">
          <xlrd:rvb i="1821"/>
        </ext>
      </extLst>
    </bk>
    <bk>
      <extLst>
        <ext uri="{3e2802c4-a4d2-4d8b-9148-e3be6c30e623}">
          <xlrd:rvb i="1822"/>
        </ext>
      </extLst>
    </bk>
    <bk>
      <extLst>
        <ext uri="{3e2802c4-a4d2-4d8b-9148-e3be6c30e623}">
          <xlrd:rvb i="1823"/>
        </ext>
      </extLst>
    </bk>
    <bk>
      <extLst>
        <ext uri="{3e2802c4-a4d2-4d8b-9148-e3be6c30e623}">
          <xlrd:rvb i="1824"/>
        </ext>
      </extLst>
    </bk>
    <bk>
      <extLst>
        <ext uri="{3e2802c4-a4d2-4d8b-9148-e3be6c30e623}">
          <xlrd:rvb i="1825"/>
        </ext>
      </extLst>
    </bk>
    <bk>
      <extLst>
        <ext uri="{3e2802c4-a4d2-4d8b-9148-e3be6c30e623}">
          <xlrd:rvb i="1826"/>
        </ext>
      </extLst>
    </bk>
    <bk>
      <extLst>
        <ext uri="{3e2802c4-a4d2-4d8b-9148-e3be6c30e623}">
          <xlrd:rvb i="1827"/>
        </ext>
      </extLst>
    </bk>
    <bk>
      <extLst>
        <ext uri="{3e2802c4-a4d2-4d8b-9148-e3be6c30e623}">
          <xlrd:rvb i="1828"/>
        </ext>
      </extLst>
    </bk>
    <bk>
      <extLst>
        <ext uri="{3e2802c4-a4d2-4d8b-9148-e3be6c30e623}">
          <xlrd:rvb i="1829"/>
        </ext>
      </extLst>
    </bk>
    <bk>
      <extLst>
        <ext uri="{3e2802c4-a4d2-4d8b-9148-e3be6c30e623}">
          <xlrd:rvb i="1830"/>
        </ext>
      </extLst>
    </bk>
    <bk>
      <extLst>
        <ext uri="{3e2802c4-a4d2-4d8b-9148-e3be6c30e623}">
          <xlrd:rvb i="1831"/>
        </ext>
      </extLst>
    </bk>
    <bk>
      <extLst>
        <ext uri="{3e2802c4-a4d2-4d8b-9148-e3be6c30e623}">
          <xlrd:rvb i="1832"/>
        </ext>
      </extLst>
    </bk>
    <bk>
      <extLst>
        <ext uri="{3e2802c4-a4d2-4d8b-9148-e3be6c30e623}">
          <xlrd:rvb i="1833"/>
        </ext>
      </extLst>
    </bk>
    <bk>
      <extLst>
        <ext uri="{3e2802c4-a4d2-4d8b-9148-e3be6c30e623}">
          <xlrd:rvb i="1834"/>
        </ext>
      </extLst>
    </bk>
    <bk>
      <extLst>
        <ext uri="{3e2802c4-a4d2-4d8b-9148-e3be6c30e623}">
          <xlrd:rvb i="1835"/>
        </ext>
      </extLst>
    </bk>
    <bk>
      <extLst>
        <ext uri="{3e2802c4-a4d2-4d8b-9148-e3be6c30e623}">
          <xlrd:rvb i="1836"/>
        </ext>
      </extLst>
    </bk>
    <bk>
      <extLst>
        <ext uri="{3e2802c4-a4d2-4d8b-9148-e3be6c30e623}">
          <xlrd:rvb i="1837"/>
        </ext>
      </extLst>
    </bk>
    <bk>
      <extLst>
        <ext uri="{3e2802c4-a4d2-4d8b-9148-e3be6c30e623}">
          <xlrd:rvb i="1838"/>
        </ext>
      </extLst>
    </bk>
    <bk>
      <extLst>
        <ext uri="{3e2802c4-a4d2-4d8b-9148-e3be6c30e623}">
          <xlrd:rvb i="1839"/>
        </ext>
      </extLst>
    </bk>
    <bk>
      <extLst>
        <ext uri="{3e2802c4-a4d2-4d8b-9148-e3be6c30e623}">
          <xlrd:rvb i="1840"/>
        </ext>
      </extLst>
    </bk>
    <bk>
      <extLst>
        <ext uri="{3e2802c4-a4d2-4d8b-9148-e3be6c30e623}">
          <xlrd:rvb i="1841"/>
        </ext>
      </extLst>
    </bk>
    <bk>
      <extLst>
        <ext uri="{3e2802c4-a4d2-4d8b-9148-e3be6c30e623}">
          <xlrd:rvb i="1842"/>
        </ext>
      </extLst>
    </bk>
    <bk>
      <extLst>
        <ext uri="{3e2802c4-a4d2-4d8b-9148-e3be6c30e623}">
          <xlrd:rvb i="1843"/>
        </ext>
      </extLst>
    </bk>
    <bk>
      <extLst>
        <ext uri="{3e2802c4-a4d2-4d8b-9148-e3be6c30e623}">
          <xlrd:rvb i="1844"/>
        </ext>
      </extLst>
    </bk>
    <bk>
      <extLst>
        <ext uri="{3e2802c4-a4d2-4d8b-9148-e3be6c30e623}">
          <xlrd:rvb i="1845"/>
        </ext>
      </extLst>
    </bk>
    <bk>
      <extLst>
        <ext uri="{3e2802c4-a4d2-4d8b-9148-e3be6c30e623}">
          <xlrd:rvb i="1846"/>
        </ext>
      </extLst>
    </bk>
    <bk>
      <extLst>
        <ext uri="{3e2802c4-a4d2-4d8b-9148-e3be6c30e623}">
          <xlrd:rvb i="1847"/>
        </ext>
      </extLst>
    </bk>
    <bk>
      <extLst>
        <ext uri="{3e2802c4-a4d2-4d8b-9148-e3be6c30e623}">
          <xlrd:rvb i="1848"/>
        </ext>
      </extLst>
    </bk>
    <bk>
      <extLst>
        <ext uri="{3e2802c4-a4d2-4d8b-9148-e3be6c30e623}">
          <xlrd:rvb i="1849"/>
        </ext>
      </extLst>
    </bk>
    <bk>
      <extLst>
        <ext uri="{3e2802c4-a4d2-4d8b-9148-e3be6c30e623}">
          <xlrd:rvb i="1850"/>
        </ext>
      </extLst>
    </bk>
    <bk>
      <extLst>
        <ext uri="{3e2802c4-a4d2-4d8b-9148-e3be6c30e623}">
          <xlrd:rvb i="1851"/>
        </ext>
      </extLst>
    </bk>
    <bk>
      <extLst>
        <ext uri="{3e2802c4-a4d2-4d8b-9148-e3be6c30e623}">
          <xlrd:rvb i="1852"/>
        </ext>
      </extLst>
    </bk>
    <bk>
      <extLst>
        <ext uri="{3e2802c4-a4d2-4d8b-9148-e3be6c30e623}">
          <xlrd:rvb i="1853"/>
        </ext>
      </extLst>
    </bk>
    <bk>
      <extLst>
        <ext uri="{3e2802c4-a4d2-4d8b-9148-e3be6c30e623}">
          <xlrd:rvb i="1854"/>
        </ext>
      </extLst>
    </bk>
    <bk>
      <extLst>
        <ext uri="{3e2802c4-a4d2-4d8b-9148-e3be6c30e623}">
          <xlrd:rvb i="1855"/>
        </ext>
      </extLst>
    </bk>
    <bk>
      <extLst>
        <ext uri="{3e2802c4-a4d2-4d8b-9148-e3be6c30e623}">
          <xlrd:rvb i="1856"/>
        </ext>
      </extLst>
    </bk>
    <bk>
      <extLst>
        <ext uri="{3e2802c4-a4d2-4d8b-9148-e3be6c30e623}">
          <xlrd:rvb i="1857"/>
        </ext>
      </extLst>
    </bk>
    <bk>
      <extLst>
        <ext uri="{3e2802c4-a4d2-4d8b-9148-e3be6c30e623}">
          <xlrd:rvb i="1858"/>
        </ext>
      </extLst>
    </bk>
    <bk>
      <extLst>
        <ext uri="{3e2802c4-a4d2-4d8b-9148-e3be6c30e623}">
          <xlrd:rvb i="1859"/>
        </ext>
      </extLst>
    </bk>
    <bk>
      <extLst>
        <ext uri="{3e2802c4-a4d2-4d8b-9148-e3be6c30e623}">
          <xlrd:rvb i="1860"/>
        </ext>
      </extLst>
    </bk>
    <bk>
      <extLst>
        <ext uri="{3e2802c4-a4d2-4d8b-9148-e3be6c30e623}">
          <xlrd:rvb i="1861"/>
        </ext>
      </extLst>
    </bk>
    <bk>
      <extLst>
        <ext uri="{3e2802c4-a4d2-4d8b-9148-e3be6c30e623}">
          <xlrd:rvb i="1862"/>
        </ext>
      </extLst>
    </bk>
    <bk>
      <extLst>
        <ext uri="{3e2802c4-a4d2-4d8b-9148-e3be6c30e623}">
          <xlrd:rvb i="1863"/>
        </ext>
      </extLst>
    </bk>
    <bk>
      <extLst>
        <ext uri="{3e2802c4-a4d2-4d8b-9148-e3be6c30e623}">
          <xlrd:rvb i="1864"/>
        </ext>
      </extLst>
    </bk>
    <bk>
      <extLst>
        <ext uri="{3e2802c4-a4d2-4d8b-9148-e3be6c30e623}">
          <xlrd:rvb i="1865"/>
        </ext>
      </extLst>
    </bk>
    <bk>
      <extLst>
        <ext uri="{3e2802c4-a4d2-4d8b-9148-e3be6c30e623}">
          <xlrd:rvb i="1866"/>
        </ext>
      </extLst>
    </bk>
    <bk>
      <extLst>
        <ext uri="{3e2802c4-a4d2-4d8b-9148-e3be6c30e623}">
          <xlrd:rvb i="1867"/>
        </ext>
      </extLst>
    </bk>
    <bk>
      <extLst>
        <ext uri="{3e2802c4-a4d2-4d8b-9148-e3be6c30e623}">
          <xlrd:rvb i="1868"/>
        </ext>
      </extLst>
    </bk>
    <bk>
      <extLst>
        <ext uri="{3e2802c4-a4d2-4d8b-9148-e3be6c30e623}">
          <xlrd:rvb i="1869"/>
        </ext>
      </extLst>
    </bk>
    <bk>
      <extLst>
        <ext uri="{3e2802c4-a4d2-4d8b-9148-e3be6c30e623}">
          <xlrd:rvb i="1870"/>
        </ext>
      </extLst>
    </bk>
    <bk>
      <extLst>
        <ext uri="{3e2802c4-a4d2-4d8b-9148-e3be6c30e623}">
          <xlrd:rvb i="1871"/>
        </ext>
      </extLst>
    </bk>
    <bk>
      <extLst>
        <ext uri="{3e2802c4-a4d2-4d8b-9148-e3be6c30e623}">
          <xlrd:rvb i="1872"/>
        </ext>
      </extLst>
    </bk>
    <bk>
      <extLst>
        <ext uri="{3e2802c4-a4d2-4d8b-9148-e3be6c30e623}">
          <xlrd:rvb i="1873"/>
        </ext>
      </extLst>
    </bk>
    <bk>
      <extLst>
        <ext uri="{3e2802c4-a4d2-4d8b-9148-e3be6c30e623}">
          <xlrd:rvb i="1874"/>
        </ext>
      </extLst>
    </bk>
    <bk>
      <extLst>
        <ext uri="{3e2802c4-a4d2-4d8b-9148-e3be6c30e623}">
          <xlrd:rvb i="1875"/>
        </ext>
      </extLst>
    </bk>
    <bk>
      <extLst>
        <ext uri="{3e2802c4-a4d2-4d8b-9148-e3be6c30e623}">
          <xlrd:rvb i="1876"/>
        </ext>
      </extLst>
    </bk>
    <bk>
      <extLst>
        <ext uri="{3e2802c4-a4d2-4d8b-9148-e3be6c30e623}">
          <xlrd:rvb i="1877"/>
        </ext>
      </extLst>
    </bk>
    <bk>
      <extLst>
        <ext uri="{3e2802c4-a4d2-4d8b-9148-e3be6c30e623}">
          <xlrd:rvb i="1878"/>
        </ext>
      </extLst>
    </bk>
    <bk>
      <extLst>
        <ext uri="{3e2802c4-a4d2-4d8b-9148-e3be6c30e623}">
          <xlrd:rvb i="1879"/>
        </ext>
      </extLst>
    </bk>
    <bk>
      <extLst>
        <ext uri="{3e2802c4-a4d2-4d8b-9148-e3be6c30e623}">
          <xlrd:rvb i="1880"/>
        </ext>
      </extLst>
    </bk>
    <bk>
      <extLst>
        <ext uri="{3e2802c4-a4d2-4d8b-9148-e3be6c30e623}">
          <xlrd:rvb i="1881"/>
        </ext>
      </extLst>
    </bk>
    <bk>
      <extLst>
        <ext uri="{3e2802c4-a4d2-4d8b-9148-e3be6c30e623}">
          <xlrd:rvb i="1882"/>
        </ext>
      </extLst>
    </bk>
    <bk>
      <extLst>
        <ext uri="{3e2802c4-a4d2-4d8b-9148-e3be6c30e623}">
          <xlrd:rvb i="1883"/>
        </ext>
      </extLst>
    </bk>
    <bk>
      <extLst>
        <ext uri="{3e2802c4-a4d2-4d8b-9148-e3be6c30e623}">
          <xlrd:rvb i="1884"/>
        </ext>
      </extLst>
    </bk>
    <bk>
      <extLst>
        <ext uri="{3e2802c4-a4d2-4d8b-9148-e3be6c30e623}">
          <xlrd:rvb i="1885"/>
        </ext>
      </extLst>
    </bk>
    <bk>
      <extLst>
        <ext uri="{3e2802c4-a4d2-4d8b-9148-e3be6c30e623}">
          <xlrd:rvb i="1886"/>
        </ext>
      </extLst>
    </bk>
    <bk>
      <extLst>
        <ext uri="{3e2802c4-a4d2-4d8b-9148-e3be6c30e623}">
          <xlrd:rvb i="1887"/>
        </ext>
      </extLst>
    </bk>
    <bk>
      <extLst>
        <ext uri="{3e2802c4-a4d2-4d8b-9148-e3be6c30e623}">
          <xlrd:rvb i="1888"/>
        </ext>
      </extLst>
    </bk>
    <bk>
      <extLst>
        <ext uri="{3e2802c4-a4d2-4d8b-9148-e3be6c30e623}">
          <xlrd:rvb i="1889"/>
        </ext>
      </extLst>
    </bk>
    <bk>
      <extLst>
        <ext uri="{3e2802c4-a4d2-4d8b-9148-e3be6c30e623}">
          <xlrd:rvb i="1890"/>
        </ext>
      </extLst>
    </bk>
    <bk>
      <extLst>
        <ext uri="{3e2802c4-a4d2-4d8b-9148-e3be6c30e623}">
          <xlrd:rvb i="1891"/>
        </ext>
      </extLst>
    </bk>
    <bk>
      <extLst>
        <ext uri="{3e2802c4-a4d2-4d8b-9148-e3be6c30e623}">
          <xlrd:rvb i="1892"/>
        </ext>
      </extLst>
    </bk>
    <bk>
      <extLst>
        <ext uri="{3e2802c4-a4d2-4d8b-9148-e3be6c30e623}">
          <xlrd:rvb i="1893"/>
        </ext>
      </extLst>
    </bk>
    <bk>
      <extLst>
        <ext uri="{3e2802c4-a4d2-4d8b-9148-e3be6c30e623}">
          <xlrd:rvb i="1894"/>
        </ext>
      </extLst>
    </bk>
    <bk>
      <extLst>
        <ext uri="{3e2802c4-a4d2-4d8b-9148-e3be6c30e623}">
          <xlrd:rvb i="1895"/>
        </ext>
      </extLst>
    </bk>
    <bk>
      <extLst>
        <ext uri="{3e2802c4-a4d2-4d8b-9148-e3be6c30e623}">
          <xlrd:rvb i="1896"/>
        </ext>
      </extLst>
    </bk>
    <bk>
      <extLst>
        <ext uri="{3e2802c4-a4d2-4d8b-9148-e3be6c30e623}">
          <xlrd:rvb i="1897"/>
        </ext>
      </extLst>
    </bk>
    <bk>
      <extLst>
        <ext uri="{3e2802c4-a4d2-4d8b-9148-e3be6c30e623}">
          <xlrd:rvb i="1898"/>
        </ext>
      </extLst>
    </bk>
    <bk>
      <extLst>
        <ext uri="{3e2802c4-a4d2-4d8b-9148-e3be6c30e623}">
          <xlrd:rvb i="1899"/>
        </ext>
      </extLst>
    </bk>
    <bk>
      <extLst>
        <ext uri="{3e2802c4-a4d2-4d8b-9148-e3be6c30e623}">
          <xlrd:rvb i="1900"/>
        </ext>
      </extLst>
    </bk>
    <bk>
      <extLst>
        <ext uri="{3e2802c4-a4d2-4d8b-9148-e3be6c30e623}">
          <xlrd:rvb i="1901"/>
        </ext>
      </extLst>
    </bk>
    <bk>
      <extLst>
        <ext uri="{3e2802c4-a4d2-4d8b-9148-e3be6c30e623}">
          <xlrd:rvb i="1902"/>
        </ext>
      </extLst>
    </bk>
    <bk>
      <extLst>
        <ext uri="{3e2802c4-a4d2-4d8b-9148-e3be6c30e623}">
          <xlrd:rvb i="1903"/>
        </ext>
      </extLst>
    </bk>
    <bk>
      <extLst>
        <ext uri="{3e2802c4-a4d2-4d8b-9148-e3be6c30e623}">
          <xlrd:rvb i="1904"/>
        </ext>
      </extLst>
    </bk>
    <bk>
      <extLst>
        <ext uri="{3e2802c4-a4d2-4d8b-9148-e3be6c30e623}">
          <xlrd:rvb i="1905"/>
        </ext>
      </extLst>
    </bk>
    <bk>
      <extLst>
        <ext uri="{3e2802c4-a4d2-4d8b-9148-e3be6c30e623}">
          <xlrd:rvb i="1906"/>
        </ext>
      </extLst>
    </bk>
    <bk>
      <extLst>
        <ext uri="{3e2802c4-a4d2-4d8b-9148-e3be6c30e623}">
          <xlrd:rvb i="1907"/>
        </ext>
      </extLst>
    </bk>
    <bk>
      <extLst>
        <ext uri="{3e2802c4-a4d2-4d8b-9148-e3be6c30e623}">
          <xlrd:rvb i="1908"/>
        </ext>
      </extLst>
    </bk>
    <bk>
      <extLst>
        <ext uri="{3e2802c4-a4d2-4d8b-9148-e3be6c30e623}">
          <xlrd:rvb i="1909"/>
        </ext>
      </extLst>
    </bk>
    <bk>
      <extLst>
        <ext uri="{3e2802c4-a4d2-4d8b-9148-e3be6c30e623}">
          <xlrd:rvb i="1910"/>
        </ext>
      </extLst>
    </bk>
    <bk>
      <extLst>
        <ext uri="{3e2802c4-a4d2-4d8b-9148-e3be6c30e623}">
          <xlrd:rvb i="1911"/>
        </ext>
      </extLst>
    </bk>
    <bk>
      <extLst>
        <ext uri="{3e2802c4-a4d2-4d8b-9148-e3be6c30e623}">
          <xlrd:rvb i="1912"/>
        </ext>
      </extLst>
    </bk>
    <bk>
      <extLst>
        <ext uri="{3e2802c4-a4d2-4d8b-9148-e3be6c30e623}">
          <xlrd:rvb i="1913"/>
        </ext>
      </extLst>
    </bk>
    <bk>
      <extLst>
        <ext uri="{3e2802c4-a4d2-4d8b-9148-e3be6c30e623}">
          <xlrd:rvb i="1914"/>
        </ext>
      </extLst>
    </bk>
    <bk>
      <extLst>
        <ext uri="{3e2802c4-a4d2-4d8b-9148-e3be6c30e623}">
          <xlrd:rvb i="1915"/>
        </ext>
      </extLst>
    </bk>
    <bk>
      <extLst>
        <ext uri="{3e2802c4-a4d2-4d8b-9148-e3be6c30e623}">
          <xlrd:rvb i="1916"/>
        </ext>
      </extLst>
    </bk>
    <bk>
      <extLst>
        <ext uri="{3e2802c4-a4d2-4d8b-9148-e3be6c30e623}">
          <xlrd:rvb i="1917"/>
        </ext>
      </extLst>
    </bk>
    <bk>
      <extLst>
        <ext uri="{3e2802c4-a4d2-4d8b-9148-e3be6c30e623}">
          <xlrd:rvb i="1918"/>
        </ext>
      </extLst>
    </bk>
    <bk>
      <extLst>
        <ext uri="{3e2802c4-a4d2-4d8b-9148-e3be6c30e623}">
          <xlrd:rvb i="1919"/>
        </ext>
      </extLst>
    </bk>
    <bk>
      <extLst>
        <ext uri="{3e2802c4-a4d2-4d8b-9148-e3be6c30e623}">
          <xlrd:rvb i="1920"/>
        </ext>
      </extLst>
    </bk>
    <bk>
      <extLst>
        <ext uri="{3e2802c4-a4d2-4d8b-9148-e3be6c30e623}">
          <xlrd:rvb i="1921"/>
        </ext>
      </extLst>
    </bk>
    <bk>
      <extLst>
        <ext uri="{3e2802c4-a4d2-4d8b-9148-e3be6c30e623}">
          <xlrd:rvb i="1922"/>
        </ext>
      </extLst>
    </bk>
    <bk>
      <extLst>
        <ext uri="{3e2802c4-a4d2-4d8b-9148-e3be6c30e623}">
          <xlrd:rvb i="1923"/>
        </ext>
      </extLst>
    </bk>
    <bk>
      <extLst>
        <ext uri="{3e2802c4-a4d2-4d8b-9148-e3be6c30e623}">
          <xlrd:rvb i="1924"/>
        </ext>
      </extLst>
    </bk>
    <bk>
      <extLst>
        <ext uri="{3e2802c4-a4d2-4d8b-9148-e3be6c30e623}">
          <xlrd:rvb i="1925"/>
        </ext>
      </extLst>
    </bk>
    <bk>
      <extLst>
        <ext uri="{3e2802c4-a4d2-4d8b-9148-e3be6c30e623}">
          <xlrd:rvb i="1926"/>
        </ext>
      </extLst>
    </bk>
    <bk>
      <extLst>
        <ext uri="{3e2802c4-a4d2-4d8b-9148-e3be6c30e623}">
          <xlrd:rvb i="1927"/>
        </ext>
      </extLst>
    </bk>
    <bk>
      <extLst>
        <ext uri="{3e2802c4-a4d2-4d8b-9148-e3be6c30e623}">
          <xlrd:rvb i="1928"/>
        </ext>
      </extLst>
    </bk>
    <bk>
      <extLst>
        <ext uri="{3e2802c4-a4d2-4d8b-9148-e3be6c30e623}">
          <xlrd:rvb i="1929"/>
        </ext>
      </extLst>
    </bk>
    <bk>
      <extLst>
        <ext uri="{3e2802c4-a4d2-4d8b-9148-e3be6c30e623}">
          <xlrd:rvb i="1930"/>
        </ext>
      </extLst>
    </bk>
    <bk>
      <extLst>
        <ext uri="{3e2802c4-a4d2-4d8b-9148-e3be6c30e623}">
          <xlrd:rvb i="1931"/>
        </ext>
      </extLst>
    </bk>
    <bk>
      <extLst>
        <ext uri="{3e2802c4-a4d2-4d8b-9148-e3be6c30e623}">
          <xlrd:rvb i="1932"/>
        </ext>
      </extLst>
    </bk>
    <bk>
      <extLst>
        <ext uri="{3e2802c4-a4d2-4d8b-9148-e3be6c30e623}">
          <xlrd:rvb i="1933"/>
        </ext>
      </extLst>
    </bk>
    <bk>
      <extLst>
        <ext uri="{3e2802c4-a4d2-4d8b-9148-e3be6c30e623}">
          <xlrd:rvb i="1934"/>
        </ext>
      </extLst>
    </bk>
    <bk>
      <extLst>
        <ext uri="{3e2802c4-a4d2-4d8b-9148-e3be6c30e623}">
          <xlrd:rvb i="1935"/>
        </ext>
      </extLst>
    </bk>
    <bk>
      <extLst>
        <ext uri="{3e2802c4-a4d2-4d8b-9148-e3be6c30e623}">
          <xlrd:rvb i="1936"/>
        </ext>
      </extLst>
    </bk>
    <bk>
      <extLst>
        <ext uri="{3e2802c4-a4d2-4d8b-9148-e3be6c30e623}">
          <xlrd:rvb i="1937"/>
        </ext>
      </extLst>
    </bk>
    <bk>
      <extLst>
        <ext uri="{3e2802c4-a4d2-4d8b-9148-e3be6c30e623}">
          <xlrd:rvb i="1938"/>
        </ext>
      </extLst>
    </bk>
    <bk>
      <extLst>
        <ext uri="{3e2802c4-a4d2-4d8b-9148-e3be6c30e623}">
          <xlrd:rvb i="1939"/>
        </ext>
      </extLst>
    </bk>
    <bk>
      <extLst>
        <ext uri="{3e2802c4-a4d2-4d8b-9148-e3be6c30e623}">
          <xlrd:rvb i="1940"/>
        </ext>
      </extLst>
    </bk>
    <bk>
      <extLst>
        <ext uri="{3e2802c4-a4d2-4d8b-9148-e3be6c30e623}">
          <xlrd:rvb i="1941"/>
        </ext>
      </extLst>
    </bk>
    <bk>
      <extLst>
        <ext uri="{3e2802c4-a4d2-4d8b-9148-e3be6c30e623}">
          <xlrd:rvb i="1942"/>
        </ext>
      </extLst>
    </bk>
    <bk>
      <extLst>
        <ext uri="{3e2802c4-a4d2-4d8b-9148-e3be6c30e623}">
          <xlrd:rvb i="1943"/>
        </ext>
      </extLst>
    </bk>
    <bk>
      <extLst>
        <ext uri="{3e2802c4-a4d2-4d8b-9148-e3be6c30e623}">
          <xlrd:rvb i="1944"/>
        </ext>
      </extLst>
    </bk>
    <bk>
      <extLst>
        <ext uri="{3e2802c4-a4d2-4d8b-9148-e3be6c30e623}">
          <xlrd:rvb i="1945"/>
        </ext>
      </extLst>
    </bk>
    <bk>
      <extLst>
        <ext uri="{3e2802c4-a4d2-4d8b-9148-e3be6c30e623}">
          <xlrd:rvb i="1946"/>
        </ext>
      </extLst>
    </bk>
    <bk>
      <extLst>
        <ext uri="{3e2802c4-a4d2-4d8b-9148-e3be6c30e623}">
          <xlrd:rvb i="1947"/>
        </ext>
      </extLst>
    </bk>
    <bk>
      <extLst>
        <ext uri="{3e2802c4-a4d2-4d8b-9148-e3be6c30e623}">
          <xlrd:rvb i="1948"/>
        </ext>
      </extLst>
    </bk>
    <bk>
      <extLst>
        <ext uri="{3e2802c4-a4d2-4d8b-9148-e3be6c30e623}">
          <xlrd:rvb i="1949"/>
        </ext>
      </extLst>
    </bk>
    <bk>
      <extLst>
        <ext uri="{3e2802c4-a4d2-4d8b-9148-e3be6c30e623}">
          <xlrd:rvb i="1950"/>
        </ext>
      </extLst>
    </bk>
    <bk>
      <extLst>
        <ext uri="{3e2802c4-a4d2-4d8b-9148-e3be6c30e623}">
          <xlrd:rvb i="1951"/>
        </ext>
      </extLst>
    </bk>
    <bk>
      <extLst>
        <ext uri="{3e2802c4-a4d2-4d8b-9148-e3be6c30e623}">
          <xlrd:rvb i="1952"/>
        </ext>
      </extLst>
    </bk>
    <bk>
      <extLst>
        <ext uri="{3e2802c4-a4d2-4d8b-9148-e3be6c30e623}">
          <xlrd:rvb i="1953"/>
        </ext>
      </extLst>
    </bk>
    <bk>
      <extLst>
        <ext uri="{3e2802c4-a4d2-4d8b-9148-e3be6c30e623}">
          <xlrd:rvb i="1954"/>
        </ext>
      </extLst>
    </bk>
    <bk>
      <extLst>
        <ext uri="{3e2802c4-a4d2-4d8b-9148-e3be6c30e623}">
          <xlrd:rvb i="1955"/>
        </ext>
      </extLst>
    </bk>
    <bk>
      <extLst>
        <ext uri="{3e2802c4-a4d2-4d8b-9148-e3be6c30e623}">
          <xlrd:rvb i="1956"/>
        </ext>
      </extLst>
    </bk>
    <bk>
      <extLst>
        <ext uri="{3e2802c4-a4d2-4d8b-9148-e3be6c30e623}">
          <xlrd:rvb i="1957"/>
        </ext>
      </extLst>
    </bk>
    <bk>
      <extLst>
        <ext uri="{3e2802c4-a4d2-4d8b-9148-e3be6c30e623}">
          <xlrd:rvb i="1958"/>
        </ext>
      </extLst>
    </bk>
    <bk>
      <extLst>
        <ext uri="{3e2802c4-a4d2-4d8b-9148-e3be6c30e623}">
          <xlrd:rvb i="1959"/>
        </ext>
      </extLst>
    </bk>
    <bk>
      <extLst>
        <ext uri="{3e2802c4-a4d2-4d8b-9148-e3be6c30e623}">
          <xlrd:rvb i="1960"/>
        </ext>
      </extLst>
    </bk>
    <bk>
      <extLst>
        <ext uri="{3e2802c4-a4d2-4d8b-9148-e3be6c30e623}">
          <xlrd:rvb i="1961"/>
        </ext>
      </extLst>
    </bk>
    <bk>
      <extLst>
        <ext uri="{3e2802c4-a4d2-4d8b-9148-e3be6c30e623}">
          <xlrd:rvb i="1962"/>
        </ext>
      </extLst>
    </bk>
    <bk>
      <extLst>
        <ext uri="{3e2802c4-a4d2-4d8b-9148-e3be6c30e623}">
          <xlrd:rvb i="1963"/>
        </ext>
      </extLst>
    </bk>
    <bk>
      <extLst>
        <ext uri="{3e2802c4-a4d2-4d8b-9148-e3be6c30e623}">
          <xlrd:rvb i="1964"/>
        </ext>
      </extLst>
    </bk>
    <bk>
      <extLst>
        <ext uri="{3e2802c4-a4d2-4d8b-9148-e3be6c30e623}">
          <xlrd:rvb i="1965"/>
        </ext>
      </extLst>
    </bk>
    <bk>
      <extLst>
        <ext uri="{3e2802c4-a4d2-4d8b-9148-e3be6c30e623}">
          <xlrd:rvb i="1966"/>
        </ext>
      </extLst>
    </bk>
    <bk>
      <extLst>
        <ext uri="{3e2802c4-a4d2-4d8b-9148-e3be6c30e623}">
          <xlrd:rvb i="1967"/>
        </ext>
      </extLst>
    </bk>
    <bk>
      <extLst>
        <ext uri="{3e2802c4-a4d2-4d8b-9148-e3be6c30e623}">
          <xlrd:rvb i="1968"/>
        </ext>
      </extLst>
    </bk>
    <bk>
      <extLst>
        <ext uri="{3e2802c4-a4d2-4d8b-9148-e3be6c30e623}">
          <xlrd:rvb i="1969"/>
        </ext>
      </extLst>
    </bk>
    <bk>
      <extLst>
        <ext uri="{3e2802c4-a4d2-4d8b-9148-e3be6c30e623}">
          <xlrd:rvb i="1970"/>
        </ext>
      </extLst>
    </bk>
    <bk>
      <extLst>
        <ext uri="{3e2802c4-a4d2-4d8b-9148-e3be6c30e623}">
          <xlrd:rvb i="1971"/>
        </ext>
      </extLst>
    </bk>
    <bk>
      <extLst>
        <ext uri="{3e2802c4-a4d2-4d8b-9148-e3be6c30e623}">
          <xlrd:rvb i="1972"/>
        </ext>
      </extLst>
    </bk>
    <bk>
      <extLst>
        <ext uri="{3e2802c4-a4d2-4d8b-9148-e3be6c30e623}">
          <xlrd:rvb i="1973"/>
        </ext>
      </extLst>
    </bk>
    <bk>
      <extLst>
        <ext uri="{3e2802c4-a4d2-4d8b-9148-e3be6c30e623}">
          <xlrd:rvb i="1974"/>
        </ext>
      </extLst>
    </bk>
    <bk>
      <extLst>
        <ext uri="{3e2802c4-a4d2-4d8b-9148-e3be6c30e623}">
          <xlrd:rvb i="1975"/>
        </ext>
      </extLst>
    </bk>
    <bk>
      <extLst>
        <ext uri="{3e2802c4-a4d2-4d8b-9148-e3be6c30e623}">
          <xlrd:rvb i="1976"/>
        </ext>
      </extLst>
    </bk>
    <bk>
      <extLst>
        <ext uri="{3e2802c4-a4d2-4d8b-9148-e3be6c30e623}">
          <xlrd:rvb i="1977"/>
        </ext>
      </extLst>
    </bk>
    <bk>
      <extLst>
        <ext uri="{3e2802c4-a4d2-4d8b-9148-e3be6c30e623}">
          <xlrd:rvb i="1978"/>
        </ext>
      </extLst>
    </bk>
    <bk>
      <extLst>
        <ext uri="{3e2802c4-a4d2-4d8b-9148-e3be6c30e623}">
          <xlrd:rvb i="1979"/>
        </ext>
      </extLst>
    </bk>
    <bk>
      <extLst>
        <ext uri="{3e2802c4-a4d2-4d8b-9148-e3be6c30e623}">
          <xlrd:rvb i="1980"/>
        </ext>
      </extLst>
    </bk>
    <bk>
      <extLst>
        <ext uri="{3e2802c4-a4d2-4d8b-9148-e3be6c30e623}">
          <xlrd:rvb i="1981"/>
        </ext>
      </extLst>
    </bk>
    <bk>
      <extLst>
        <ext uri="{3e2802c4-a4d2-4d8b-9148-e3be6c30e623}">
          <xlrd:rvb i="1982"/>
        </ext>
      </extLst>
    </bk>
    <bk>
      <extLst>
        <ext uri="{3e2802c4-a4d2-4d8b-9148-e3be6c30e623}">
          <xlrd:rvb i="1983"/>
        </ext>
      </extLst>
    </bk>
    <bk>
      <extLst>
        <ext uri="{3e2802c4-a4d2-4d8b-9148-e3be6c30e623}">
          <xlrd:rvb i="1984"/>
        </ext>
      </extLst>
    </bk>
    <bk>
      <extLst>
        <ext uri="{3e2802c4-a4d2-4d8b-9148-e3be6c30e623}">
          <xlrd:rvb i="1985"/>
        </ext>
      </extLst>
    </bk>
    <bk>
      <extLst>
        <ext uri="{3e2802c4-a4d2-4d8b-9148-e3be6c30e623}">
          <xlrd:rvb i="1986"/>
        </ext>
      </extLst>
    </bk>
    <bk>
      <extLst>
        <ext uri="{3e2802c4-a4d2-4d8b-9148-e3be6c30e623}">
          <xlrd:rvb i="1987"/>
        </ext>
      </extLst>
    </bk>
    <bk>
      <extLst>
        <ext uri="{3e2802c4-a4d2-4d8b-9148-e3be6c30e623}">
          <xlrd:rvb i="1988"/>
        </ext>
      </extLst>
    </bk>
    <bk>
      <extLst>
        <ext uri="{3e2802c4-a4d2-4d8b-9148-e3be6c30e623}">
          <xlrd:rvb i="1989"/>
        </ext>
      </extLst>
    </bk>
    <bk>
      <extLst>
        <ext uri="{3e2802c4-a4d2-4d8b-9148-e3be6c30e623}">
          <xlrd:rvb i="1990"/>
        </ext>
      </extLst>
    </bk>
    <bk>
      <extLst>
        <ext uri="{3e2802c4-a4d2-4d8b-9148-e3be6c30e623}">
          <xlrd:rvb i="1991"/>
        </ext>
      </extLst>
    </bk>
    <bk>
      <extLst>
        <ext uri="{3e2802c4-a4d2-4d8b-9148-e3be6c30e623}">
          <xlrd:rvb i="1992"/>
        </ext>
      </extLst>
    </bk>
    <bk>
      <extLst>
        <ext uri="{3e2802c4-a4d2-4d8b-9148-e3be6c30e623}">
          <xlrd:rvb i="1993"/>
        </ext>
      </extLst>
    </bk>
    <bk>
      <extLst>
        <ext uri="{3e2802c4-a4d2-4d8b-9148-e3be6c30e623}">
          <xlrd:rvb i="1994"/>
        </ext>
      </extLst>
    </bk>
    <bk>
      <extLst>
        <ext uri="{3e2802c4-a4d2-4d8b-9148-e3be6c30e623}">
          <xlrd:rvb i="1995"/>
        </ext>
      </extLst>
    </bk>
    <bk>
      <extLst>
        <ext uri="{3e2802c4-a4d2-4d8b-9148-e3be6c30e623}">
          <xlrd:rvb i="1996"/>
        </ext>
      </extLst>
    </bk>
    <bk>
      <extLst>
        <ext uri="{3e2802c4-a4d2-4d8b-9148-e3be6c30e623}">
          <xlrd:rvb i="1997"/>
        </ext>
      </extLst>
    </bk>
    <bk>
      <extLst>
        <ext uri="{3e2802c4-a4d2-4d8b-9148-e3be6c30e623}">
          <xlrd:rvb i="1998"/>
        </ext>
      </extLst>
    </bk>
    <bk>
      <extLst>
        <ext uri="{3e2802c4-a4d2-4d8b-9148-e3be6c30e623}">
          <xlrd:rvb i="1999"/>
        </ext>
      </extLst>
    </bk>
    <bk>
      <extLst>
        <ext uri="{3e2802c4-a4d2-4d8b-9148-e3be6c30e623}">
          <xlrd:rvb i="2000"/>
        </ext>
      </extLst>
    </bk>
    <bk>
      <extLst>
        <ext uri="{3e2802c4-a4d2-4d8b-9148-e3be6c30e623}">
          <xlrd:rvb i="2001"/>
        </ext>
      </extLst>
    </bk>
    <bk>
      <extLst>
        <ext uri="{3e2802c4-a4d2-4d8b-9148-e3be6c30e623}">
          <xlrd:rvb i="2002"/>
        </ext>
      </extLst>
    </bk>
    <bk>
      <extLst>
        <ext uri="{3e2802c4-a4d2-4d8b-9148-e3be6c30e623}">
          <xlrd:rvb i="2003"/>
        </ext>
      </extLst>
    </bk>
    <bk>
      <extLst>
        <ext uri="{3e2802c4-a4d2-4d8b-9148-e3be6c30e623}">
          <xlrd:rvb i="2004"/>
        </ext>
      </extLst>
    </bk>
    <bk>
      <extLst>
        <ext uri="{3e2802c4-a4d2-4d8b-9148-e3be6c30e623}">
          <xlrd:rvb i="2005"/>
        </ext>
      </extLst>
    </bk>
    <bk>
      <extLst>
        <ext uri="{3e2802c4-a4d2-4d8b-9148-e3be6c30e623}">
          <xlrd:rvb i="2006"/>
        </ext>
      </extLst>
    </bk>
    <bk>
      <extLst>
        <ext uri="{3e2802c4-a4d2-4d8b-9148-e3be6c30e623}">
          <xlrd:rvb i="2007"/>
        </ext>
      </extLst>
    </bk>
    <bk>
      <extLst>
        <ext uri="{3e2802c4-a4d2-4d8b-9148-e3be6c30e623}">
          <xlrd:rvb i="2008"/>
        </ext>
      </extLst>
    </bk>
    <bk>
      <extLst>
        <ext uri="{3e2802c4-a4d2-4d8b-9148-e3be6c30e623}">
          <xlrd:rvb i="2009"/>
        </ext>
      </extLst>
    </bk>
    <bk>
      <extLst>
        <ext uri="{3e2802c4-a4d2-4d8b-9148-e3be6c30e623}">
          <xlrd:rvb i="2010"/>
        </ext>
      </extLst>
    </bk>
    <bk>
      <extLst>
        <ext uri="{3e2802c4-a4d2-4d8b-9148-e3be6c30e623}">
          <xlrd:rvb i="2011"/>
        </ext>
      </extLst>
    </bk>
    <bk>
      <extLst>
        <ext uri="{3e2802c4-a4d2-4d8b-9148-e3be6c30e623}">
          <xlrd:rvb i="2012"/>
        </ext>
      </extLst>
    </bk>
    <bk>
      <extLst>
        <ext uri="{3e2802c4-a4d2-4d8b-9148-e3be6c30e623}">
          <xlrd:rvb i="2013"/>
        </ext>
      </extLst>
    </bk>
    <bk>
      <extLst>
        <ext uri="{3e2802c4-a4d2-4d8b-9148-e3be6c30e623}">
          <xlrd:rvb i="2014"/>
        </ext>
      </extLst>
    </bk>
    <bk>
      <extLst>
        <ext uri="{3e2802c4-a4d2-4d8b-9148-e3be6c30e623}">
          <xlrd:rvb i="2015"/>
        </ext>
      </extLst>
    </bk>
    <bk>
      <extLst>
        <ext uri="{3e2802c4-a4d2-4d8b-9148-e3be6c30e623}">
          <xlrd:rvb i="2016"/>
        </ext>
      </extLst>
    </bk>
    <bk>
      <extLst>
        <ext uri="{3e2802c4-a4d2-4d8b-9148-e3be6c30e623}">
          <xlrd:rvb i="2017"/>
        </ext>
      </extLst>
    </bk>
    <bk>
      <extLst>
        <ext uri="{3e2802c4-a4d2-4d8b-9148-e3be6c30e623}">
          <xlrd:rvb i="2018"/>
        </ext>
      </extLst>
    </bk>
    <bk>
      <extLst>
        <ext uri="{3e2802c4-a4d2-4d8b-9148-e3be6c30e623}">
          <xlrd:rvb i="2019"/>
        </ext>
      </extLst>
    </bk>
    <bk>
      <extLst>
        <ext uri="{3e2802c4-a4d2-4d8b-9148-e3be6c30e623}">
          <xlrd:rvb i="2020"/>
        </ext>
      </extLst>
    </bk>
    <bk>
      <extLst>
        <ext uri="{3e2802c4-a4d2-4d8b-9148-e3be6c30e623}">
          <xlrd:rvb i="2021"/>
        </ext>
      </extLst>
    </bk>
    <bk>
      <extLst>
        <ext uri="{3e2802c4-a4d2-4d8b-9148-e3be6c30e623}">
          <xlrd:rvb i="2022"/>
        </ext>
      </extLst>
    </bk>
    <bk>
      <extLst>
        <ext uri="{3e2802c4-a4d2-4d8b-9148-e3be6c30e623}">
          <xlrd:rvb i="2023"/>
        </ext>
      </extLst>
    </bk>
    <bk>
      <extLst>
        <ext uri="{3e2802c4-a4d2-4d8b-9148-e3be6c30e623}">
          <xlrd:rvb i="2024"/>
        </ext>
      </extLst>
    </bk>
    <bk>
      <extLst>
        <ext uri="{3e2802c4-a4d2-4d8b-9148-e3be6c30e623}">
          <xlrd:rvb i="2025"/>
        </ext>
      </extLst>
    </bk>
    <bk>
      <extLst>
        <ext uri="{3e2802c4-a4d2-4d8b-9148-e3be6c30e623}">
          <xlrd:rvb i="2026"/>
        </ext>
      </extLst>
    </bk>
    <bk>
      <extLst>
        <ext uri="{3e2802c4-a4d2-4d8b-9148-e3be6c30e623}">
          <xlrd:rvb i="2027"/>
        </ext>
      </extLst>
    </bk>
    <bk>
      <extLst>
        <ext uri="{3e2802c4-a4d2-4d8b-9148-e3be6c30e623}">
          <xlrd:rvb i="2028"/>
        </ext>
      </extLst>
    </bk>
    <bk>
      <extLst>
        <ext uri="{3e2802c4-a4d2-4d8b-9148-e3be6c30e623}">
          <xlrd:rvb i="2029"/>
        </ext>
      </extLst>
    </bk>
    <bk>
      <extLst>
        <ext uri="{3e2802c4-a4d2-4d8b-9148-e3be6c30e623}">
          <xlrd:rvb i="2030"/>
        </ext>
      </extLst>
    </bk>
    <bk>
      <extLst>
        <ext uri="{3e2802c4-a4d2-4d8b-9148-e3be6c30e623}">
          <xlrd:rvb i="2031"/>
        </ext>
      </extLst>
    </bk>
    <bk>
      <extLst>
        <ext uri="{3e2802c4-a4d2-4d8b-9148-e3be6c30e623}">
          <xlrd:rvb i="2032"/>
        </ext>
      </extLst>
    </bk>
    <bk>
      <extLst>
        <ext uri="{3e2802c4-a4d2-4d8b-9148-e3be6c30e623}">
          <xlrd:rvb i="2033"/>
        </ext>
      </extLst>
    </bk>
    <bk>
      <extLst>
        <ext uri="{3e2802c4-a4d2-4d8b-9148-e3be6c30e623}">
          <xlrd:rvb i="2034"/>
        </ext>
      </extLst>
    </bk>
    <bk>
      <extLst>
        <ext uri="{3e2802c4-a4d2-4d8b-9148-e3be6c30e623}">
          <xlrd:rvb i="2035"/>
        </ext>
      </extLst>
    </bk>
    <bk>
      <extLst>
        <ext uri="{3e2802c4-a4d2-4d8b-9148-e3be6c30e623}">
          <xlrd:rvb i="2036"/>
        </ext>
      </extLst>
    </bk>
    <bk>
      <extLst>
        <ext uri="{3e2802c4-a4d2-4d8b-9148-e3be6c30e623}">
          <xlrd:rvb i="2037"/>
        </ext>
      </extLst>
    </bk>
    <bk>
      <extLst>
        <ext uri="{3e2802c4-a4d2-4d8b-9148-e3be6c30e623}">
          <xlrd:rvb i="2038"/>
        </ext>
      </extLst>
    </bk>
    <bk>
      <extLst>
        <ext uri="{3e2802c4-a4d2-4d8b-9148-e3be6c30e623}">
          <xlrd:rvb i="2039"/>
        </ext>
      </extLst>
    </bk>
    <bk>
      <extLst>
        <ext uri="{3e2802c4-a4d2-4d8b-9148-e3be6c30e623}">
          <xlrd:rvb i="2040"/>
        </ext>
      </extLst>
    </bk>
    <bk>
      <extLst>
        <ext uri="{3e2802c4-a4d2-4d8b-9148-e3be6c30e623}">
          <xlrd:rvb i="2041"/>
        </ext>
      </extLst>
    </bk>
    <bk>
      <extLst>
        <ext uri="{3e2802c4-a4d2-4d8b-9148-e3be6c30e623}">
          <xlrd:rvb i="2042"/>
        </ext>
      </extLst>
    </bk>
    <bk>
      <extLst>
        <ext uri="{3e2802c4-a4d2-4d8b-9148-e3be6c30e623}">
          <xlrd:rvb i="2043"/>
        </ext>
      </extLst>
    </bk>
    <bk>
      <extLst>
        <ext uri="{3e2802c4-a4d2-4d8b-9148-e3be6c30e623}">
          <xlrd:rvb i="2044"/>
        </ext>
      </extLst>
    </bk>
    <bk>
      <extLst>
        <ext uri="{3e2802c4-a4d2-4d8b-9148-e3be6c30e623}">
          <xlrd:rvb i="2045"/>
        </ext>
      </extLst>
    </bk>
    <bk>
      <extLst>
        <ext uri="{3e2802c4-a4d2-4d8b-9148-e3be6c30e623}">
          <xlrd:rvb i="2046"/>
        </ext>
      </extLst>
    </bk>
    <bk>
      <extLst>
        <ext uri="{3e2802c4-a4d2-4d8b-9148-e3be6c30e623}">
          <xlrd:rvb i="2047"/>
        </ext>
      </extLst>
    </bk>
    <bk>
      <extLst>
        <ext uri="{3e2802c4-a4d2-4d8b-9148-e3be6c30e623}">
          <xlrd:rvb i="2048"/>
        </ext>
      </extLst>
    </bk>
    <bk>
      <extLst>
        <ext uri="{3e2802c4-a4d2-4d8b-9148-e3be6c30e623}">
          <xlrd:rvb i="2049"/>
        </ext>
      </extLst>
    </bk>
    <bk>
      <extLst>
        <ext uri="{3e2802c4-a4d2-4d8b-9148-e3be6c30e623}">
          <xlrd:rvb i="2050"/>
        </ext>
      </extLst>
    </bk>
    <bk>
      <extLst>
        <ext uri="{3e2802c4-a4d2-4d8b-9148-e3be6c30e623}">
          <xlrd:rvb i="2051"/>
        </ext>
      </extLst>
    </bk>
    <bk>
      <extLst>
        <ext uri="{3e2802c4-a4d2-4d8b-9148-e3be6c30e623}">
          <xlrd:rvb i="2052"/>
        </ext>
      </extLst>
    </bk>
    <bk>
      <extLst>
        <ext uri="{3e2802c4-a4d2-4d8b-9148-e3be6c30e623}">
          <xlrd:rvb i="2053"/>
        </ext>
      </extLst>
    </bk>
    <bk>
      <extLst>
        <ext uri="{3e2802c4-a4d2-4d8b-9148-e3be6c30e623}">
          <xlrd:rvb i="2054"/>
        </ext>
      </extLst>
    </bk>
    <bk>
      <extLst>
        <ext uri="{3e2802c4-a4d2-4d8b-9148-e3be6c30e623}">
          <xlrd:rvb i="2055"/>
        </ext>
      </extLst>
    </bk>
    <bk>
      <extLst>
        <ext uri="{3e2802c4-a4d2-4d8b-9148-e3be6c30e623}">
          <xlrd:rvb i="2056"/>
        </ext>
      </extLst>
    </bk>
    <bk>
      <extLst>
        <ext uri="{3e2802c4-a4d2-4d8b-9148-e3be6c30e623}">
          <xlrd:rvb i="2057"/>
        </ext>
      </extLst>
    </bk>
    <bk>
      <extLst>
        <ext uri="{3e2802c4-a4d2-4d8b-9148-e3be6c30e623}">
          <xlrd:rvb i="2058"/>
        </ext>
      </extLst>
    </bk>
    <bk>
      <extLst>
        <ext uri="{3e2802c4-a4d2-4d8b-9148-e3be6c30e623}">
          <xlrd:rvb i="2059"/>
        </ext>
      </extLst>
    </bk>
    <bk>
      <extLst>
        <ext uri="{3e2802c4-a4d2-4d8b-9148-e3be6c30e623}">
          <xlrd:rvb i="2060"/>
        </ext>
      </extLst>
    </bk>
    <bk>
      <extLst>
        <ext uri="{3e2802c4-a4d2-4d8b-9148-e3be6c30e623}">
          <xlrd:rvb i="2061"/>
        </ext>
      </extLst>
    </bk>
    <bk>
      <extLst>
        <ext uri="{3e2802c4-a4d2-4d8b-9148-e3be6c30e623}">
          <xlrd:rvb i="2062"/>
        </ext>
      </extLst>
    </bk>
    <bk>
      <extLst>
        <ext uri="{3e2802c4-a4d2-4d8b-9148-e3be6c30e623}">
          <xlrd:rvb i="2063"/>
        </ext>
      </extLst>
    </bk>
    <bk>
      <extLst>
        <ext uri="{3e2802c4-a4d2-4d8b-9148-e3be6c30e623}">
          <xlrd:rvb i="2064"/>
        </ext>
      </extLst>
    </bk>
    <bk>
      <extLst>
        <ext uri="{3e2802c4-a4d2-4d8b-9148-e3be6c30e623}">
          <xlrd:rvb i="2065"/>
        </ext>
      </extLst>
    </bk>
    <bk>
      <extLst>
        <ext uri="{3e2802c4-a4d2-4d8b-9148-e3be6c30e623}">
          <xlrd:rvb i="2066"/>
        </ext>
      </extLst>
    </bk>
    <bk>
      <extLst>
        <ext uri="{3e2802c4-a4d2-4d8b-9148-e3be6c30e623}">
          <xlrd:rvb i="2067"/>
        </ext>
      </extLst>
    </bk>
    <bk>
      <extLst>
        <ext uri="{3e2802c4-a4d2-4d8b-9148-e3be6c30e623}">
          <xlrd:rvb i="2068"/>
        </ext>
      </extLst>
    </bk>
    <bk>
      <extLst>
        <ext uri="{3e2802c4-a4d2-4d8b-9148-e3be6c30e623}">
          <xlrd:rvb i="2069"/>
        </ext>
      </extLst>
    </bk>
    <bk>
      <extLst>
        <ext uri="{3e2802c4-a4d2-4d8b-9148-e3be6c30e623}">
          <xlrd:rvb i="2070"/>
        </ext>
      </extLst>
    </bk>
    <bk>
      <extLst>
        <ext uri="{3e2802c4-a4d2-4d8b-9148-e3be6c30e623}">
          <xlrd:rvb i="2071"/>
        </ext>
      </extLst>
    </bk>
    <bk>
      <extLst>
        <ext uri="{3e2802c4-a4d2-4d8b-9148-e3be6c30e623}">
          <xlrd:rvb i="2072"/>
        </ext>
      </extLst>
    </bk>
    <bk>
      <extLst>
        <ext uri="{3e2802c4-a4d2-4d8b-9148-e3be6c30e623}">
          <xlrd:rvb i="2073"/>
        </ext>
      </extLst>
    </bk>
    <bk>
      <extLst>
        <ext uri="{3e2802c4-a4d2-4d8b-9148-e3be6c30e623}">
          <xlrd:rvb i="2074"/>
        </ext>
      </extLst>
    </bk>
    <bk>
      <extLst>
        <ext uri="{3e2802c4-a4d2-4d8b-9148-e3be6c30e623}">
          <xlrd:rvb i="2075"/>
        </ext>
      </extLst>
    </bk>
    <bk>
      <extLst>
        <ext uri="{3e2802c4-a4d2-4d8b-9148-e3be6c30e623}">
          <xlrd:rvb i="2076"/>
        </ext>
      </extLst>
    </bk>
    <bk>
      <extLst>
        <ext uri="{3e2802c4-a4d2-4d8b-9148-e3be6c30e623}">
          <xlrd:rvb i="2077"/>
        </ext>
      </extLst>
    </bk>
    <bk>
      <extLst>
        <ext uri="{3e2802c4-a4d2-4d8b-9148-e3be6c30e623}">
          <xlrd:rvb i="2078"/>
        </ext>
      </extLst>
    </bk>
    <bk>
      <extLst>
        <ext uri="{3e2802c4-a4d2-4d8b-9148-e3be6c30e623}">
          <xlrd:rvb i="2079"/>
        </ext>
      </extLst>
    </bk>
    <bk>
      <extLst>
        <ext uri="{3e2802c4-a4d2-4d8b-9148-e3be6c30e623}">
          <xlrd:rvb i="2080"/>
        </ext>
      </extLst>
    </bk>
    <bk>
      <extLst>
        <ext uri="{3e2802c4-a4d2-4d8b-9148-e3be6c30e623}">
          <xlrd:rvb i="2081"/>
        </ext>
      </extLst>
    </bk>
    <bk>
      <extLst>
        <ext uri="{3e2802c4-a4d2-4d8b-9148-e3be6c30e623}">
          <xlrd:rvb i="2082"/>
        </ext>
      </extLst>
    </bk>
    <bk>
      <extLst>
        <ext uri="{3e2802c4-a4d2-4d8b-9148-e3be6c30e623}">
          <xlrd:rvb i="2083"/>
        </ext>
      </extLst>
    </bk>
    <bk>
      <extLst>
        <ext uri="{3e2802c4-a4d2-4d8b-9148-e3be6c30e623}">
          <xlrd:rvb i="2084"/>
        </ext>
      </extLst>
    </bk>
    <bk>
      <extLst>
        <ext uri="{3e2802c4-a4d2-4d8b-9148-e3be6c30e623}">
          <xlrd:rvb i="2085"/>
        </ext>
      </extLst>
    </bk>
    <bk>
      <extLst>
        <ext uri="{3e2802c4-a4d2-4d8b-9148-e3be6c30e623}">
          <xlrd:rvb i="2086"/>
        </ext>
      </extLst>
    </bk>
    <bk>
      <extLst>
        <ext uri="{3e2802c4-a4d2-4d8b-9148-e3be6c30e623}">
          <xlrd:rvb i="2087"/>
        </ext>
      </extLst>
    </bk>
    <bk>
      <extLst>
        <ext uri="{3e2802c4-a4d2-4d8b-9148-e3be6c30e623}">
          <xlrd:rvb i="2088"/>
        </ext>
      </extLst>
    </bk>
    <bk>
      <extLst>
        <ext uri="{3e2802c4-a4d2-4d8b-9148-e3be6c30e623}">
          <xlrd:rvb i="2089"/>
        </ext>
      </extLst>
    </bk>
    <bk>
      <extLst>
        <ext uri="{3e2802c4-a4d2-4d8b-9148-e3be6c30e623}">
          <xlrd:rvb i="2090"/>
        </ext>
      </extLst>
    </bk>
    <bk>
      <extLst>
        <ext uri="{3e2802c4-a4d2-4d8b-9148-e3be6c30e623}">
          <xlrd:rvb i="2091"/>
        </ext>
      </extLst>
    </bk>
    <bk>
      <extLst>
        <ext uri="{3e2802c4-a4d2-4d8b-9148-e3be6c30e623}">
          <xlrd:rvb i="2092"/>
        </ext>
      </extLst>
    </bk>
    <bk>
      <extLst>
        <ext uri="{3e2802c4-a4d2-4d8b-9148-e3be6c30e623}">
          <xlrd:rvb i="2093"/>
        </ext>
      </extLst>
    </bk>
    <bk>
      <extLst>
        <ext uri="{3e2802c4-a4d2-4d8b-9148-e3be6c30e623}">
          <xlrd:rvb i="2094"/>
        </ext>
      </extLst>
    </bk>
    <bk>
      <extLst>
        <ext uri="{3e2802c4-a4d2-4d8b-9148-e3be6c30e623}">
          <xlrd:rvb i="2095"/>
        </ext>
      </extLst>
    </bk>
    <bk>
      <extLst>
        <ext uri="{3e2802c4-a4d2-4d8b-9148-e3be6c30e623}">
          <xlrd:rvb i="2096"/>
        </ext>
      </extLst>
    </bk>
    <bk>
      <extLst>
        <ext uri="{3e2802c4-a4d2-4d8b-9148-e3be6c30e623}">
          <xlrd:rvb i="2097"/>
        </ext>
      </extLst>
    </bk>
    <bk>
      <extLst>
        <ext uri="{3e2802c4-a4d2-4d8b-9148-e3be6c30e623}">
          <xlrd:rvb i="2098"/>
        </ext>
      </extLst>
    </bk>
    <bk>
      <extLst>
        <ext uri="{3e2802c4-a4d2-4d8b-9148-e3be6c30e623}">
          <xlrd:rvb i="2099"/>
        </ext>
      </extLst>
    </bk>
    <bk>
      <extLst>
        <ext uri="{3e2802c4-a4d2-4d8b-9148-e3be6c30e623}">
          <xlrd:rvb i="2100"/>
        </ext>
      </extLst>
    </bk>
    <bk>
      <extLst>
        <ext uri="{3e2802c4-a4d2-4d8b-9148-e3be6c30e623}">
          <xlrd:rvb i="2101"/>
        </ext>
      </extLst>
    </bk>
    <bk>
      <extLst>
        <ext uri="{3e2802c4-a4d2-4d8b-9148-e3be6c30e623}">
          <xlrd:rvb i="2102"/>
        </ext>
      </extLst>
    </bk>
    <bk>
      <extLst>
        <ext uri="{3e2802c4-a4d2-4d8b-9148-e3be6c30e623}">
          <xlrd:rvb i="2103"/>
        </ext>
      </extLst>
    </bk>
    <bk>
      <extLst>
        <ext uri="{3e2802c4-a4d2-4d8b-9148-e3be6c30e623}">
          <xlrd:rvb i="2104"/>
        </ext>
      </extLst>
    </bk>
    <bk>
      <extLst>
        <ext uri="{3e2802c4-a4d2-4d8b-9148-e3be6c30e623}">
          <xlrd:rvb i="2105"/>
        </ext>
      </extLst>
    </bk>
    <bk>
      <extLst>
        <ext uri="{3e2802c4-a4d2-4d8b-9148-e3be6c30e623}">
          <xlrd:rvb i="2106"/>
        </ext>
      </extLst>
    </bk>
    <bk>
      <extLst>
        <ext uri="{3e2802c4-a4d2-4d8b-9148-e3be6c30e623}">
          <xlrd:rvb i="2107"/>
        </ext>
      </extLst>
    </bk>
    <bk>
      <extLst>
        <ext uri="{3e2802c4-a4d2-4d8b-9148-e3be6c30e623}">
          <xlrd:rvb i="2108"/>
        </ext>
      </extLst>
    </bk>
    <bk>
      <extLst>
        <ext uri="{3e2802c4-a4d2-4d8b-9148-e3be6c30e623}">
          <xlrd:rvb i="2109"/>
        </ext>
      </extLst>
    </bk>
    <bk>
      <extLst>
        <ext uri="{3e2802c4-a4d2-4d8b-9148-e3be6c30e623}">
          <xlrd:rvb i="2110"/>
        </ext>
      </extLst>
    </bk>
    <bk>
      <extLst>
        <ext uri="{3e2802c4-a4d2-4d8b-9148-e3be6c30e623}">
          <xlrd:rvb i="2111"/>
        </ext>
      </extLst>
    </bk>
    <bk>
      <extLst>
        <ext uri="{3e2802c4-a4d2-4d8b-9148-e3be6c30e623}">
          <xlrd:rvb i="2112"/>
        </ext>
      </extLst>
    </bk>
    <bk>
      <extLst>
        <ext uri="{3e2802c4-a4d2-4d8b-9148-e3be6c30e623}">
          <xlrd:rvb i="2113"/>
        </ext>
      </extLst>
    </bk>
    <bk>
      <extLst>
        <ext uri="{3e2802c4-a4d2-4d8b-9148-e3be6c30e623}">
          <xlrd:rvb i="2114"/>
        </ext>
      </extLst>
    </bk>
    <bk>
      <extLst>
        <ext uri="{3e2802c4-a4d2-4d8b-9148-e3be6c30e623}">
          <xlrd:rvb i="2115"/>
        </ext>
      </extLst>
    </bk>
    <bk>
      <extLst>
        <ext uri="{3e2802c4-a4d2-4d8b-9148-e3be6c30e623}">
          <xlrd:rvb i="2116"/>
        </ext>
      </extLst>
    </bk>
    <bk>
      <extLst>
        <ext uri="{3e2802c4-a4d2-4d8b-9148-e3be6c30e623}">
          <xlrd:rvb i="2117"/>
        </ext>
      </extLst>
    </bk>
    <bk>
      <extLst>
        <ext uri="{3e2802c4-a4d2-4d8b-9148-e3be6c30e623}">
          <xlrd:rvb i="2118"/>
        </ext>
      </extLst>
    </bk>
    <bk>
      <extLst>
        <ext uri="{3e2802c4-a4d2-4d8b-9148-e3be6c30e623}">
          <xlrd:rvb i="2119"/>
        </ext>
      </extLst>
    </bk>
    <bk>
      <extLst>
        <ext uri="{3e2802c4-a4d2-4d8b-9148-e3be6c30e623}">
          <xlrd:rvb i="2120"/>
        </ext>
      </extLst>
    </bk>
    <bk>
      <extLst>
        <ext uri="{3e2802c4-a4d2-4d8b-9148-e3be6c30e623}">
          <xlrd:rvb i="2121"/>
        </ext>
      </extLst>
    </bk>
    <bk>
      <extLst>
        <ext uri="{3e2802c4-a4d2-4d8b-9148-e3be6c30e623}">
          <xlrd:rvb i="2122"/>
        </ext>
      </extLst>
    </bk>
    <bk>
      <extLst>
        <ext uri="{3e2802c4-a4d2-4d8b-9148-e3be6c30e623}">
          <xlrd:rvb i="2123"/>
        </ext>
      </extLst>
    </bk>
    <bk>
      <extLst>
        <ext uri="{3e2802c4-a4d2-4d8b-9148-e3be6c30e623}">
          <xlrd:rvb i="2124"/>
        </ext>
      </extLst>
    </bk>
    <bk>
      <extLst>
        <ext uri="{3e2802c4-a4d2-4d8b-9148-e3be6c30e623}">
          <xlrd:rvb i="2125"/>
        </ext>
      </extLst>
    </bk>
    <bk>
      <extLst>
        <ext uri="{3e2802c4-a4d2-4d8b-9148-e3be6c30e623}">
          <xlrd:rvb i="2126"/>
        </ext>
      </extLst>
    </bk>
    <bk>
      <extLst>
        <ext uri="{3e2802c4-a4d2-4d8b-9148-e3be6c30e623}">
          <xlrd:rvb i="2127"/>
        </ext>
      </extLst>
    </bk>
    <bk>
      <extLst>
        <ext uri="{3e2802c4-a4d2-4d8b-9148-e3be6c30e623}">
          <xlrd:rvb i="2128"/>
        </ext>
      </extLst>
    </bk>
    <bk>
      <extLst>
        <ext uri="{3e2802c4-a4d2-4d8b-9148-e3be6c30e623}">
          <xlrd:rvb i="2129"/>
        </ext>
      </extLst>
    </bk>
    <bk>
      <extLst>
        <ext uri="{3e2802c4-a4d2-4d8b-9148-e3be6c30e623}">
          <xlrd:rvb i="2130"/>
        </ext>
      </extLst>
    </bk>
    <bk>
      <extLst>
        <ext uri="{3e2802c4-a4d2-4d8b-9148-e3be6c30e623}">
          <xlrd:rvb i="2131"/>
        </ext>
      </extLst>
    </bk>
    <bk>
      <extLst>
        <ext uri="{3e2802c4-a4d2-4d8b-9148-e3be6c30e623}">
          <xlrd:rvb i="2132"/>
        </ext>
      </extLst>
    </bk>
    <bk>
      <extLst>
        <ext uri="{3e2802c4-a4d2-4d8b-9148-e3be6c30e623}">
          <xlrd:rvb i="2133"/>
        </ext>
      </extLst>
    </bk>
    <bk>
      <extLst>
        <ext uri="{3e2802c4-a4d2-4d8b-9148-e3be6c30e623}">
          <xlrd:rvb i="2134"/>
        </ext>
      </extLst>
    </bk>
    <bk>
      <extLst>
        <ext uri="{3e2802c4-a4d2-4d8b-9148-e3be6c30e623}">
          <xlrd:rvb i="2135"/>
        </ext>
      </extLst>
    </bk>
    <bk>
      <extLst>
        <ext uri="{3e2802c4-a4d2-4d8b-9148-e3be6c30e623}">
          <xlrd:rvb i="2136"/>
        </ext>
      </extLst>
    </bk>
    <bk>
      <extLst>
        <ext uri="{3e2802c4-a4d2-4d8b-9148-e3be6c30e623}">
          <xlrd:rvb i="2137"/>
        </ext>
      </extLst>
    </bk>
    <bk>
      <extLst>
        <ext uri="{3e2802c4-a4d2-4d8b-9148-e3be6c30e623}">
          <xlrd:rvb i="2138"/>
        </ext>
      </extLst>
    </bk>
    <bk>
      <extLst>
        <ext uri="{3e2802c4-a4d2-4d8b-9148-e3be6c30e623}">
          <xlrd:rvb i="2139"/>
        </ext>
      </extLst>
    </bk>
    <bk>
      <extLst>
        <ext uri="{3e2802c4-a4d2-4d8b-9148-e3be6c30e623}">
          <xlrd:rvb i="2140"/>
        </ext>
      </extLst>
    </bk>
    <bk>
      <extLst>
        <ext uri="{3e2802c4-a4d2-4d8b-9148-e3be6c30e623}">
          <xlrd:rvb i="2141"/>
        </ext>
      </extLst>
    </bk>
    <bk>
      <extLst>
        <ext uri="{3e2802c4-a4d2-4d8b-9148-e3be6c30e623}">
          <xlrd:rvb i="2142"/>
        </ext>
      </extLst>
    </bk>
    <bk>
      <extLst>
        <ext uri="{3e2802c4-a4d2-4d8b-9148-e3be6c30e623}">
          <xlrd:rvb i="2143"/>
        </ext>
      </extLst>
    </bk>
    <bk>
      <extLst>
        <ext uri="{3e2802c4-a4d2-4d8b-9148-e3be6c30e623}">
          <xlrd:rvb i="2144"/>
        </ext>
      </extLst>
    </bk>
    <bk>
      <extLst>
        <ext uri="{3e2802c4-a4d2-4d8b-9148-e3be6c30e623}">
          <xlrd:rvb i="2145"/>
        </ext>
      </extLst>
    </bk>
    <bk>
      <extLst>
        <ext uri="{3e2802c4-a4d2-4d8b-9148-e3be6c30e623}">
          <xlrd:rvb i="2146"/>
        </ext>
      </extLst>
    </bk>
    <bk>
      <extLst>
        <ext uri="{3e2802c4-a4d2-4d8b-9148-e3be6c30e623}">
          <xlrd:rvb i="2147"/>
        </ext>
      </extLst>
    </bk>
    <bk>
      <extLst>
        <ext uri="{3e2802c4-a4d2-4d8b-9148-e3be6c30e623}">
          <xlrd:rvb i="2148"/>
        </ext>
      </extLst>
    </bk>
    <bk>
      <extLst>
        <ext uri="{3e2802c4-a4d2-4d8b-9148-e3be6c30e623}">
          <xlrd:rvb i="2149"/>
        </ext>
      </extLst>
    </bk>
    <bk>
      <extLst>
        <ext uri="{3e2802c4-a4d2-4d8b-9148-e3be6c30e623}">
          <xlrd:rvb i="2150"/>
        </ext>
      </extLst>
    </bk>
    <bk>
      <extLst>
        <ext uri="{3e2802c4-a4d2-4d8b-9148-e3be6c30e623}">
          <xlrd:rvb i="2151"/>
        </ext>
      </extLst>
    </bk>
    <bk>
      <extLst>
        <ext uri="{3e2802c4-a4d2-4d8b-9148-e3be6c30e623}">
          <xlrd:rvb i="2152"/>
        </ext>
      </extLst>
    </bk>
    <bk>
      <extLst>
        <ext uri="{3e2802c4-a4d2-4d8b-9148-e3be6c30e623}">
          <xlrd:rvb i="2153"/>
        </ext>
      </extLst>
    </bk>
    <bk>
      <extLst>
        <ext uri="{3e2802c4-a4d2-4d8b-9148-e3be6c30e623}">
          <xlrd:rvb i="2154"/>
        </ext>
      </extLst>
    </bk>
    <bk>
      <extLst>
        <ext uri="{3e2802c4-a4d2-4d8b-9148-e3be6c30e623}">
          <xlrd:rvb i="2155"/>
        </ext>
      </extLst>
    </bk>
    <bk>
      <extLst>
        <ext uri="{3e2802c4-a4d2-4d8b-9148-e3be6c30e623}">
          <xlrd:rvb i="2156"/>
        </ext>
      </extLst>
    </bk>
    <bk>
      <extLst>
        <ext uri="{3e2802c4-a4d2-4d8b-9148-e3be6c30e623}">
          <xlrd:rvb i="2157"/>
        </ext>
      </extLst>
    </bk>
    <bk>
      <extLst>
        <ext uri="{3e2802c4-a4d2-4d8b-9148-e3be6c30e623}">
          <xlrd:rvb i="2158"/>
        </ext>
      </extLst>
    </bk>
    <bk>
      <extLst>
        <ext uri="{3e2802c4-a4d2-4d8b-9148-e3be6c30e623}">
          <xlrd:rvb i="2159"/>
        </ext>
      </extLst>
    </bk>
    <bk>
      <extLst>
        <ext uri="{3e2802c4-a4d2-4d8b-9148-e3be6c30e623}">
          <xlrd:rvb i="2160"/>
        </ext>
      </extLst>
    </bk>
    <bk>
      <extLst>
        <ext uri="{3e2802c4-a4d2-4d8b-9148-e3be6c30e623}">
          <xlrd:rvb i="2161"/>
        </ext>
      </extLst>
    </bk>
    <bk>
      <extLst>
        <ext uri="{3e2802c4-a4d2-4d8b-9148-e3be6c30e623}">
          <xlrd:rvb i="2162"/>
        </ext>
      </extLst>
    </bk>
    <bk>
      <extLst>
        <ext uri="{3e2802c4-a4d2-4d8b-9148-e3be6c30e623}">
          <xlrd:rvb i="2163"/>
        </ext>
      </extLst>
    </bk>
    <bk>
      <extLst>
        <ext uri="{3e2802c4-a4d2-4d8b-9148-e3be6c30e623}">
          <xlrd:rvb i="2164"/>
        </ext>
      </extLst>
    </bk>
    <bk>
      <extLst>
        <ext uri="{3e2802c4-a4d2-4d8b-9148-e3be6c30e623}">
          <xlrd:rvb i="2165"/>
        </ext>
      </extLst>
    </bk>
    <bk>
      <extLst>
        <ext uri="{3e2802c4-a4d2-4d8b-9148-e3be6c30e623}">
          <xlrd:rvb i="2166"/>
        </ext>
      </extLst>
    </bk>
    <bk>
      <extLst>
        <ext uri="{3e2802c4-a4d2-4d8b-9148-e3be6c30e623}">
          <xlrd:rvb i="2167"/>
        </ext>
      </extLst>
    </bk>
    <bk>
      <extLst>
        <ext uri="{3e2802c4-a4d2-4d8b-9148-e3be6c30e623}">
          <xlrd:rvb i="2168"/>
        </ext>
      </extLst>
    </bk>
    <bk>
      <extLst>
        <ext uri="{3e2802c4-a4d2-4d8b-9148-e3be6c30e623}">
          <xlrd:rvb i="2169"/>
        </ext>
      </extLst>
    </bk>
    <bk>
      <extLst>
        <ext uri="{3e2802c4-a4d2-4d8b-9148-e3be6c30e623}">
          <xlrd:rvb i="2170"/>
        </ext>
      </extLst>
    </bk>
    <bk>
      <extLst>
        <ext uri="{3e2802c4-a4d2-4d8b-9148-e3be6c30e623}">
          <xlrd:rvb i="2171"/>
        </ext>
      </extLst>
    </bk>
    <bk>
      <extLst>
        <ext uri="{3e2802c4-a4d2-4d8b-9148-e3be6c30e623}">
          <xlrd:rvb i="2172"/>
        </ext>
      </extLst>
    </bk>
    <bk>
      <extLst>
        <ext uri="{3e2802c4-a4d2-4d8b-9148-e3be6c30e623}">
          <xlrd:rvb i="2173"/>
        </ext>
      </extLst>
    </bk>
    <bk>
      <extLst>
        <ext uri="{3e2802c4-a4d2-4d8b-9148-e3be6c30e623}">
          <xlrd:rvb i="2174"/>
        </ext>
      </extLst>
    </bk>
    <bk>
      <extLst>
        <ext uri="{3e2802c4-a4d2-4d8b-9148-e3be6c30e623}">
          <xlrd:rvb i="2175"/>
        </ext>
      </extLst>
    </bk>
    <bk>
      <extLst>
        <ext uri="{3e2802c4-a4d2-4d8b-9148-e3be6c30e623}">
          <xlrd:rvb i="2176"/>
        </ext>
      </extLst>
    </bk>
    <bk>
      <extLst>
        <ext uri="{3e2802c4-a4d2-4d8b-9148-e3be6c30e623}">
          <xlrd:rvb i="2177"/>
        </ext>
      </extLst>
    </bk>
    <bk>
      <extLst>
        <ext uri="{3e2802c4-a4d2-4d8b-9148-e3be6c30e623}">
          <xlrd:rvb i="2178"/>
        </ext>
      </extLst>
    </bk>
    <bk>
      <extLst>
        <ext uri="{3e2802c4-a4d2-4d8b-9148-e3be6c30e623}">
          <xlrd:rvb i="2179"/>
        </ext>
      </extLst>
    </bk>
    <bk>
      <extLst>
        <ext uri="{3e2802c4-a4d2-4d8b-9148-e3be6c30e623}">
          <xlrd:rvb i="2180"/>
        </ext>
      </extLst>
    </bk>
    <bk>
      <extLst>
        <ext uri="{3e2802c4-a4d2-4d8b-9148-e3be6c30e623}">
          <xlrd:rvb i="2181"/>
        </ext>
      </extLst>
    </bk>
    <bk>
      <extLst>
        <ext uri="{3e2802c4-a4d2-4d8b-9148-e3be6c30e623}">
          <xlrd:rvb i="2182"/>
        </ext>
      </extLst>
    </bk>
    <bk>
      <extLst>
        <ext uri="{3e2802c4-a4d2-4d8b-9148-e3be6c30e623}">
          <xlrd:rvb i="2183"/>
        </ext>
      </extLst>
    </bk>
    <bk>
      <extLst>
        <ext uri="{3e2802c4-a4d2-4d8b-9148-e3be6c30e623}">
          <xlrd:rvb i="2184"/>
        </ext>
      </extLst>
    </bk>
    <bk>
      <extLst>
        <ext uri="{3e2802c4-a4d2-4d8b-9148-e3be6c30e623}">
          <xlrd:rvb i="2185"/>
        </ext>
      </extLst>
    </bk>
    <bk>
      <extLst>
        <ext uri="{3e2802c4-a4d2-4d8b-9148-e3be6c30e623}">
          <xlrd:rvb i="2186"/>
        </ext>
      </extLst>
    </bk>
    <bk>
      <extLst>
        <ext uri="{3e2802c4-a4d2-4d8b-9148-e3be6c30e623}">
          <xlrd:rvb i="2187"/>
        </ext>
      </extLst>
    </bk>
    <bk>
      <extLst>
        <ext uri="{3e2802c4-a4d2-4d8b-9148-e3be6c30e623}">
          <xlrd:rvb i="2188"/>
        </ext>
      </extLst>
    </bk>
    <bk>
      <extLst>
        <ext uri="{3e2802c4-a4d2-4d8b-9148-e3be6c30e623}">
          <xlrd:rvb i="2189"/>
        </ext>
      </extLst>
    </bk>
    <bk>
      <extLst>
        <ext uri="{3e2802c4-a4d2-4d8b-9148-e3be6c30e623}">
          <xlrd:rvb i="2190"/>
        </ext>
      </extLst>
    </bk>
    <bk>
      <extLst>
        <ext uri="{3e2802c4-a4d2-4d8b-9148-e3be6c30e623}">
          <xlrd:rvb i="2191"/>
        </ext>
      </extLst>
    </bk>
    <bk>
      <extLst>
        <ext uri="{3e2802c4-a4d2-4d8b-9148-e3be6c30e623}">
          <xlrd:rvb i="2192"/>
        </ext>
      </extLst>
    </bk>
    <bk>
      <extLst>
        <ext uri="{3e2802c4-a4d2-4d8b-9148-e3be6c30e623}">
          <xlrd:rvb i="2193"/>
        </ext>
      </extLst>
    </bk>
    <bk>
      <extLst>
        <ext uri="{3e2802c4-a4d2-4d8b-9148-e3be6c30e623}">
          <xlrd:rvb i="2194"/>
        </ext>
      </extLst>
    </bk>
    <bk>
      <extLst>
        <ext uri="{3e2802c4-a4d2-4d8b-9148-e3be6c30e623}">
          <xlrd:rvb i="2195"/>
        </ext>
      </extLst>
    </bk>
    <bk>
      <extLst>
        <ext uri="{3e2802c4-a4d2-4d8b-9148-e3be6c30e623}">
          <xlrd:rvb i="2196"/>
        </ext>
      </extLst>
    </bk>
    <bk>
      <extLst>
        <ext uri="{3e2802c4-a4d2-4d8b-9148-e3be6c30e623}">
          <xlrd:rvb i="2197"/>
        </ext>
      </extLst>
    </bk>
    <bk>
      <extLst>
        <ext uri="{3e2802c4-a4d2-4d8b-9148-e3be6c30e623}">
          <xlrd:rvb i="2198"/>
        </ext>
      </extLst>
    </bk>
    <bk>
      <extLst>
        <ext uri="{3e2802c4-a4d2-4d8b-9148-e3be6c30e623}">
          <xlrd:rvb i="2199"/>
        </ext>
      </extLst>
    </bk>
    <bk>
      <extLst>
        <ext uri="{3e2802c4-a4d2-4d8b-9148-e3be6c30e623}">
          <xlrd:rvb i="2200"/>
        </ext>
      </extLst>
    </bk>
    <bk>
      <extLst>
        <ext uri="{3e2802c4-a4d2-4d8b-9148-e3be6c30e623}">
          <xlrd:rvb i="2201"/>
        </ext>
      </extLst>
    </bk>
    <bk>
      <extLst>
        <ext uri="{3e2802c4-a4d2-4d8b-9148-e3be6c30e623}">
          <xlrd:rvb i="2202"/>
        </ext>
      </extLst>
    </bk>
    <bk>
      <extLst>
        <ext uri="{3e2802c4-a4d2-4d8b-9148-e3be6c30e623}">
          <xlrd:rvb i="2203"/>
        </ext>
      </extLst>
    </bk>
    <bk>
      <extLst>
        <ext uri="{3e2802c4-a4d2-4d8b-9148-e3be6c30e623}">
          <xlrd:rvb i="2204"/>
        </ext>
      </extLst>
    </bk>
    <bk>
      <extLst>
        <ext uri="{3e2802c4-a4d2-4d8b-9148-e3be6c30e623}">
          <xlrd:rvb i="2205"/>
        </ext>
      </extLst>
    </bk>
    <bk>
      <extLst>
        <ext uri="{3e2802c4-a4d2-4d8b-9148-e3be6c30e623}">
          <xlrd:rvb i="2206"/>
        </ext>
      </extLst>
    </bk>
    <bk>
      <extLst>
        <ext uri="{3e2802c4-a4d2-4d8b-9148-e3be6c30e623}">
          <xlrd:rvb i="2207"/>
        </ext>
      </extLst>
    </bk>
    <bk>
      <extLst>
        <ext uri="{3e2802c4-a4d2-4d8b-9148-e3be6c30e623}">
          <xlrd:rvb i="2208"/>
        </ext>
      </extLst>
    </bk>
    <bk>
      <extLst>
        <ext uri="{3e2802c4-a4d2-4d8b-9148-e3be6c30e623}">
          <xlrd:rvb i="2209"/>
        </ext>
      </extLst>
    </bk>
    <bk>
      <extLst>
        <ext uri="{3e2802c4-a4d2-4d8b-9148-e3be6c30e623}">
          <xlrd:rvb i="2210"/>
        </ext>
      </extLst>
    </bk>
    <bk>
      <extLst>
        <ext uri="{3e2802c4-a4d2-4d8b-9148-e3be6c30e623}">
          <xlrd:rvb i="2211"/>
        </ext>
      </extLst>
    </bk>
    <bk>
      <extLst>
        <ext uri="{3e2802c4-a4d2-4d8b-9148-e3be6c30e623}">
          <xlrd:rvb i="2212"/>
        </ext>
      </extLst>
    </bk>
    <bk>
      <extLst>
        <ext uri="{3e2802c4-a4d2-4d8b-9148-e3be6c30e623}">
          <xlrd:rvb i="2213"/>
        </ext>
      </extLst>
    </bk>
    <bk>
      <extLst>
        <ext uri="{3e2802c4-a4d2-4d8b-9148-e3be6c30e623}">
          <xlrd:rvb i="2214"/>
        </ext>
      </extLst>
    </bk>
    <bk>
      <extLst>
        <ext uri="{3e2802c4-a4d2-4d8b-9148-e3be6c30e623}">
          <xlrd:rvb i="2215"/>
        </ext>
      </extLst>
    </bk>
    <bk>
      <extLst>
        <ext uri="{3e2802c4-a4d2-4d8b-9148-e3be6c30e623}">
          <xlrd:rvb i="2216"/>
        </ext>
      </extLst>
    </bk>
    <bk>
      <extLst>
        <ext uri="{3e2802c4-a4d2-4d8b-9148-e3be6c30e623}">
          <xlrd:rvb i="2217"/>
        </ext>
      </extLst>
    </bk>
    <bk>
      <extLst>
        <ext uri="{3e2802c4-a4d2-4d8b-9148-e3be6c30e623}">
          <xlrd:rvb i="2218"/>
        </ext>
      </extLst>
    </bk>
    <bk>
      <extLst>
        <ext uri="{3e2802c4-a4d2-4d8b-9148-e3be6c30e623}">
          <xlrd:rvb i="2219"/>
        </ext>
      </extLst>
    </bk>
    <bk>
      <extLst>
        <ext uri="{3e2802c4-a4d2-4d8b-9148-e3be6c30e623}">
          <xlrd:rvb i="2220"/>
        </ext>
      </extLst>
    </bk>
    <bk>
      <extLst>
        <ext uri="{3e2802c4-a4d2-4d8b-9148-e3be6c30e623}">
          <xlrd:rvb i="2221"/>
        </ext>
      </extLst>
    </bk>
    <bk>
      <extLst>
        <ext uri="{3e2802c4-a4d2-4d8b-9148-e3be6c30e623}">
          <xlrd:rvb i="2222"/>
        </ext>
      </extLst>
    </bk>
    <bk>
      <extLst>
        <ext uri="{3e2802c4-a4d2-4d8b-9148-e3be6c30e623}">
          <xlrd:rvb i="2223"/>
        </ext>
      </extLst>
    </bk>
    <bk>
      <extLst>
        <ext uri="{3e2802c4-a4d2-4d8b-9148-e3be6c30e623}">
          <xlrd:rvb i="2224"/>
        </ext>
      </extLst>
    </bk>
    <bk>
      <extLst>
        <ext uri="{3e2802c4-a4d2-4d8b-9148-e3be6c30e623}">
          <xlrd:rvb i="2225"/>
        </ext>
      </extLst>
    </bk>
    <bk>
      <extLst>
        <ext uri="{3e2802c4-a4d2-4d8b-9148-e3be6c30e623}">
          <xlrd:rvb i="2226"/>
        </ext>
      </extLst>
    </bk>
    <bk>
      <extLst>
        <ext uri="{3e2802c4-a4d2-4d8b-9148-e3be6c30e623}">
          <xlrd:rvb i="2227"/>
        </ext>
      </extLst>
    </bk>
    <bk>
      <extLst>
        <ext uri="{3e2802c4-a4d2-4d8b-9148-e3be6c30e623}">
          <xlrd:rvb i="2228"/>
        </ext>
      </extLst>
    </bk>
    <bk>
      <extLst>
        <ext uri="{3e2802c4-a4d2-4d8b-9148-e3be6c30e623}">
          <xlrd:rvb i="2229"/>
        </ext>
      </extLst>
    </bk>
    <bk>
      <extLst>
        <ext uri="{3e2802c4-a4d2-4d8b-9148-e3be6c30e623}">
          <xlrd:rvb i="2230"/>
        </ext>
      </extLst>
    </bk>
    <bk>
      <extLst>
        <ext uri="{3e2802c4-a4d2-4d8b-9148-e3be6c30e623}">
          <xlrd:rvb i="2231"/>
        </ext>
      </extLst>
    </bk>
    <bk>
      <extLst>
        <ext uri="{3e2802c4-a4d2-4d8b-9148-e3be6c30e623}">
          <xlrd:rvb i="2232"/>
        </ext>
      </extLst>
    </bk>
    <bk>
      <extLst>
        <ext uri="{3e2802c4-a4d2-4d8b-9148-e3be6c30e623}">
          <xlrd:rvb i="2233"/>
        </ext>
      </extLst>
    </bk>
    <bk>
      <extLst>
        <ext uri="{3e2802c4-a4d2-4d8b-9148-e3be6c30e623}">
          <xlrd:rvb i="2234"/>
        </ext>
      </extLst>
    </bk>
    <bk>
      <extLst>
        <ext uri="{3e2802c4-a4d2-4d8b-9148-e3be6c30e623}">
          <xlrd:rvb i="2235"/>
        </ext>
      </extLst>
    </bk>
    <bk>
      <extLst>
        <ext uri="{3e2802c4-a4d2-4d8b-9148-e3be6c30e623}">
          <xlrd:rvb i="2236"/>
        </ext>
      </extLst>
    </bk>
    <bk>
      <extLst>
        <ext uri="{3e2802c4-a4d2-4d8b-9148-e3be6c30e623}">
          <xlrd:rvb i="2237"/>
        </ext>
      </extLst>
    </bk>
    <bk>
      <extLst>
        <ext uri="{3e2802c4-a4d2-4d8b-9148-e3be6c30e623}">
          <xlrd:rvb i="2238"/>
        </ext>
      </extLst>
    </bk>
    <bk>
      <extLst>
        <ext uri="{3e2802c4-a4d2-4d8b-9148-e3be6c30e623}">
          <xlrd:rvb i="2239"/>
        </ext>
      </extLst>
    </bk>
    <bk>
      <extLst>
        <ext uri="{3e2802c4-a4d2-4d8b-9148-e3be6c30e623}">
          <xlrd:rvb i="2240"/>
        </ext>
      </extLst>
    </bk>
    <bk>
      <extLst>
        <ext uri="{3e2802c4-a4d2-4d8b-9148-e3be6c30e623}">
          <xlrd:rvb i="2241"/>
        </ext>
      </extLst>
    </bk>
    <bk>
      <extLst>
        <ext uri="{3e2802c4-a4d2-4d8b-9148-e3be6c30e623}">
          <xlrd:rvb i="2242"/>
        </ext>
      </extLst>
    </bk>
    <bk>
      <extLst>
        <ext uri="{3e2802c4-a4d2-4d8b-9148-e3be6c30e623}">
          <xlrd:rvb i="2243"/>
        </ext>
      </extLst>
    </bk>
    <bk>
      <extLst>
        <ext uri="{3e2802c4-a4d2-4d8b-9148-e3be6c30e623}">
          <xlrd:rvb i="2244"/>
        </ext>
      </extLst>
    </bk>
    <bk>
      <extLst>
        <ext uri="{3e2802c4-a4d2-4d8b-9148-e3be6c30e623}">
          <xlrd:rvb i="2245"/>
        </ext>
      </extLst>
    </bk>
    <bk>
      <extLst>
        <ext uri="{3e2802c4-a4d2-4d8b-9148-e3be6c30e623}">
          <xlrd:rvb i="2246"/>
        </ext>
      </extLst>
    </bk>
    <bk>
      <extLst>
        <ext uri="{3e2802c4-a4d2-4d8b-9148-e3be6c30e623}">
          <xlrd:rvb i="2247"/>
        </ext>
      </extLst>
    </bk>
    <bk>
      <extLst>
        <ext uri="{3e2802c4-a4d2-4d8b-9148-e3be6c30e623}">
          <xlrd:rvb i="2248"/>
        </ext>
      </extLst>
    </bk>
    <bk>
      <extLst>
        <ext uri="{3e2802c4-a4d2-4d8b-9148-e3be6c30e623}">
          <xlrd:rvb i="2249"/>
        </ext>
      </extLst>
    </bk>
    <bk>
      <extLst>
        <ext uri="{3e2802c4-a4d2-4d8b-9148-e3be6c30e623}">
          <xlrd:rvb i="2250"/>
        </ext>
      </extLst>
    </bk>
    <bk>
      <extLst>
        <ext uri="{3e2802c4-a4d2-4d8b-9148-e3be6c30e623}">
          <xlrd:rvb i="2251"/>
        </ext>
      </extLst>
    </bk>
    <bk>
      <extLst>
        <ext uri="{3e2802c4-a4d2-4d8b-9148-e3be6c30e623}">
          <xlrd:rvb i="2252"/>
        </ext>
      </extLst>
    </bk>
    <bk>
      <extLst>
        <ext uri="{3e2802c4-a4d2-4d8b-9148-e3be6c30e623}">
          <xlrd:rvb i="2253"/>
        </ext>
      </extLst>
    </bk>
    <bk>
      <extLst>
        <ext uri="{3e2802c4-a4d2-4d8b-9148-e3be6c30e623}">
          <xlrd:rvb i="2254"/>
        </ext>
      </extLst>
    </bk>
    <bk>
      <extLst>
        <ext uri="{3e2802c4-a4d2-4d8b-9148-e3be6c30e623}">
          <xlrd:rvb i="2255"/>
        </ext>
      </extLst>
    </bk>
    <bk>
      <extLst>
        <ext uri="{3e2802c4-a4d2-4d8b-9148-e3be6c30e623}">
          <xlrd:rvb i="2256"/>
        </ext>
      </extLst>
    </bk>
    <bk>
      <extLst>
        <ext uri="{3e2802c4-a4d2-4d8b-9148-e3be6c30e623}">
          <xlrd:rvb i="2257"/>
        </ext>
      </extLst>
    </bk>
    <bk>
      <extLst>
        <ext uri="{3e2802c4-a4d2-4d8b-9148-e3be6c30e623}">
          <xlrd:rvb i="2258"/>
        </ext>
      </extLst>
    </bk>
    <bk>
      <extLst>
        <ext uri="{3e2802c4-a4d2-4d8b-9148-e3be6c30e623}">
          <xlrd:rvb i="2259"/>
        </ext>
      </extLst>
    </bk>
    <bk>
      <extLst>
        <ext uri="{3e2802c4-a4d2-4d8b-9148-e3be6c30e623}">
          <xlrd:rvb i="2260"/>
        </ext>
      </extLst>
    </bk>
    <bk>
      <extLst>
        <ext uri="{3e2802c4-a4d2-4d8b-9148-e3be6c30e623}">
          <xlrd:rvb i="2261"/>
        </ext>
      </extLst>
    </bk>
    <bk>
      <extLst>
        <ext uri="{3e2802c4-a4d2-4d8b-9148-e3be6c30e623}">
          <xlrd:rvb i="2262"/>
        </ext>
      </extLst>
    </bk>
    <bk>
      <extLst>
        <ext uri="{3e2802c4-a4d2-4d8b-9148-e3be6c30e623}">
          <xlrd:rvb i="2263"/>
        </ext>
      </extLst>
    </bk>
    <bk>
      <extLst>
        <ext uri="{3e2802c4-a4d2-4d8b-9148-e3be6c30e623}">
          <xlrd:rvb i="2264"/>
        </ext>
      </extLst>
    </bk>
    <bk>
      <extLst>
        <ext uri="{3e2802c4-a4d2-4d8b-9148-e3be6c30e623}">
          <xlrd:rvb i="2265"/>
        </ext>
      </extLst>
    </bk>
    <bk>
      <extLst>
        <ext uri="{3e2802c4-a4d2-4d8b-9148-e3be6c30e623}">
          <xlrd:rvb i="2266"/>
        </ext>
      </extLst>
    </bk>
    <bk>
      <extLst>
        <ext uri="{3e2802c4-a4d2-4d8b-9148-e3be6c30e623}">
          <xlrd:rvb i="2267"/>
        </ext>
      </extLst>
    </bk>
    <bk>
      <extLst>
        <ext uri="{3e2802c4-a4d2-4d8b-9148-e3be6c30e623}">
          <xlrd:rvb i="2268"/>
        </ext>
      </extLst>
    </bk>
    <bk>
      <extLst>
        <ext uri="{3e2802c4-a4d2-4d8b-9148-e3be6c30e623}">
          <xlrd:rvb i="2269"/>
        </ext>
      </extLst>
    </bk>
    <bk>
      <extLst>
        <ext uri="{3e2802c4-a4d2-4d8b-9148-e3be6c30e623}">
          <xlrd:rvb i="2270"/>
        </ext>
      </extLst>
    </bk>
    <bk>
      <extLst>
        <ext uri="{3e2802c4-a4d2-4d8b-9148-e3be6c30e623}">
          <xlrd:rvb i="2271"/>
        </ext>
      </extLst>
    </bk>
    <bk>
      <extLst>
        <ext uri="{3e2802c4-a4d2-4d8b-9148-e3be6c30e623}">
          <xlrd:rvb i="2272"/>
        </ext>
      </extLst>
    </bk>
    <bk>
      <extLst>
        <ext uri="{3e2802c4-a4d2-4d8b-9148-e3be6c30e623}">
          <xlrd:rvb i="2273"/>
        </ext>
      </extLst>
    </bk>
    <bk>
      <extLst>
        <ext uri="{3e2802c4-a4d2-4d8b-9148-e3be6c30e623}">
          <xlrd:rvb i="2274"/>
        </ext>
      </extLst>
    </bk>
    <bk>
      <extLst>
        <ext uri="{3e2802c4-a4d2-4d8b-9148-e3be6c30e623}">
          <xlrd:rvb i="2275"/>
        </ext>
      </extLst>
    </bk>
    <bk>
      <extLst>
        <ext uri="{3e2802c4-a4d2-4d8b-9148-e3be6c30e623}">
          <xlrd:rvb i="2276"/>
        </ext>
      </extLst>
    </bk>
    <bk>
      <extLst>
        <ext uri="{3e2802c4-a4d2-4d8b-9148-e3be6c30e623}">
          <xlrd:rvb i="2277"/>
        </ext>
      </extLst>
    </bk>
    <bk>
      <extLst>
        <ext uri="{3e2802c4-a4d2-4d8b-9148-e3be6c30e623}">
          <xlrd:rvb i="2278"/>
        </ext>
      </extLst>
    </bk>
    <bk>
      <extLst>
        <ext uri="{3e2802c4-a4d2-4d8b-9148-e3be6c30e623}">
          <xlrd:rvb i="2279"/>
        </ext>
      </extLst>
    </bk>
    <bk>
      <extLst>
        <ext uri="{3e2802c4-a4d2-4d8b-9148-e3be6c30e623}">
          <xlrd:rvb i="2280"/>
        </ext>
      </extLst>
    </bk>
    <bk>
      <extLst>
        <ext uri="{3e2802c4-a4d2-4d8b-9148-e3be6c30e623}">
          <xlrd:rvb i="2281"/>
        </ext>
      </extLst>
    </bk>
    <bk>
      <extLst>
        <ext uri="{3e2802c4-a4d2-4d8b-9148-e3be6c30e623}">
          <xlrd:rvb i="2282"/>
        </ext>
      </extLst>
    </bk>
    <bk>
      <extLst>
        <ext uri="{3e2802c4-a4d2-4d8b-9148-e3be6c30e623}">
          <xlrd:rvb i="2283"/>
        </ext>
      </extLst>
    </bk>
    <bk>
      <extLst>
        <ext uri="{3e2802c4-a4d2-4d8b-9148-e3be6c30e623}">
          <xlrd:rvb i="2284"/>
        </ext>
      </extLst>
    </bk>
    <bk>
      <extLst>
        <ext uri="{3e2802c4-a4d2-4d8b-9148-e3be6c30e623}">
          <xlrd:rvb i="2285"/>
        </ext>
      </extLst>
    </bk>
    <bk>
      <extLst>
        <ext uri="{3e2802c4-a4d2-4d8b-9148-e3be6c30e623}">
          <xlrd:rvb i="2286"/>
        </ext>
      </extLst>
    </bk>
    <bk>
      <extLst>
        <ext uri="{3e2802c4-a4d2-4d8b-9148-e3be6c30e623}">
          <xlrd:rvb i="2287"/>
        </ext>
      </extLst>
    </bk>
    <bk>
      <extLst>
        <ext uri="{3e2802c4-a4d2-4d8b-9148-e3be6c30e623}">
          <xlrd:rvb i="2288"/>
        </ext>
      </extLst>
    </bk>
    <bk>
      <extLst>
        <ext uri="{3e2802c4-a4d2-4d8b-9148-e3be6c30e623}">
          <xlrd:rvb i="2289"/>
        </ext>
      </extLst>
    </bk>
    <bk>
      <extLst>
        <ext uri="{3e2802c4-a4d2-4d8b-9148-e3be6c30e623}">
          <xlrd:rvb i="2290"/>
        </ext>
      </extLst>
    </bk>
    <bk>
      <extLst>
        <ext uri="{3e2802c4-a4d2-4d8b-9148-e3be6c30e623}">
          <xlrd:rvb i="2291"/>
        </ext>
      </extLst>
    </bk>
    <bk>
      <extLst>
        <ext uri="{3e2802c4-a4d2-4d8b-9148-e3be6c30e623}">
          <xlrd:rvb i="2292"/>
        </ext>
      </extLst>
    </bk>
    <bk>
      <extLst>
        <ext uri="{3e2802c4-a4d2-4d8b-9148-e3be6c30e623}">
          <xlrd:rvb i="2293"/>
        </ext>
      </extLst>
    </bk>
    <bk>
      <extLst>
        <ext uri="{3e2802c4-a4d2-4d8b-9148-e3be6c30e623}">
          <xlrd:rvb i="2294"/>
        </ext>
      </extLst>
    </bk>
    <bk>
      <extLst>
        <ext uri="{3e2802c4-a4d2-4d8b-9148-e3be6c30e623}">
          <xlrd:rvb i="2295"/>
        </ext>
      </extLst>
    </bk>
    <bk>
      <extLst>
        <ext uri="{3e2802c4-a4d2-4d8b-9148-e3be6c30e623}">
          <xlrd:rvb i="2296"/>
        </ext>
      </extLst>
    </bk>
    <bk>
      <extLst>
        <ext uri="{3e2802c4-a4d2-4d8b-9148-e3be6c30e623}">
          <xlrd:rvb i="2297"/>
        </ext>
      </extLst>
    </bk>
    <bk>
      <extLst>
        <ext uri="{3e2802c4-a4d2-4d8b-9148-e3be6c30e623}">
          <xlrd:rvb i="2298"/>
        </ext>
      </extLst>
    </bk>
    <bk>
      <extLst>
        <ext uri="{3e2802c4-a4d2-4d8b-9148-e3be6c30e623}">
          <xlrd:rvb i="2299"/>
        </ext>
      </extLst>
    </bk>
    <bk>
      <extLst>
        <ext uri="{3e2802c4-a4d2-4d8b-9148-e3be6c30e623}">
          <xlrd:rvb i="2300"/>
        </ext>
      </extLst>
    </bk>
    <bk>
      <extLst>
        <ext uri="{3e2802c4-a4d2-4d8b-9148-e3be6c30e623}">
          <xlrd:rvb i="2301"/>
        </ext>
      </extLst>
    </bk>
    <bk>
      <extLst>
        <ext uri="{3e2802c4-a4d2-4d8b-9148-e3be6c30e623}">
          <xlrd:rvb i="2302"/>
        </ext>
      </extLst>
    </bk>
    <bk>
      <extLst>
        <ext uri="{3e2802c4-a4d2-4d8b-9148-e3be6c30e623}">
          <xlrd:rvb i="2303"/>
        </ext>
      </extLst>
    </bk>
    <bk>
      <extLst>
        <ext uri="{3e2802c4-a4d2-4d8b-9148-e3be6c30e623}">
          <xlrd:rvb i="2304"/>
        </ext>
      </extLst>
    </bk>
    <bk>
      <extLst>
        <ext uri="{3e2802c4-a4d2-4d8b-9148-e3be6c30e623}">
          <xlrd:rvb i="2305"/>
        </ext>
      </extLst>
    </bk>
    <bk>
      <extLst>
        <ext uri="{3e2802c4-a4d2-4d8b-9148-e3be6c30e623}">
          <xlrd:rvb i="2306"/>
        </ext>
      </extLst>
    </bk>
    <bk>
      <extLst>
        <ext uri="{3e2802c4-a4d2-4d8b-9148-e3be6c30e623}">
          <xlrd:rvb i="2307"/>
        </ext>
      </extLst>
    </bk>
    <bk>
      <extLst>
        <ext uri="{3e2802c4-a4d2-4d8b-9148-e3be6c30e623}">
          <xlrd:rvb i="2308"/>
        </ext>
      </extLst>
    </bk>
    <bk>
      <extLst>
        <ext uri="{3e2802c4-a4d2-4d8b-9148-e3be6c30e623}">
          <xlrd:rvb i="2309"/>
        </ext>
      </extLst>
    </bk>
    <bk>
      <extLst>
        <ext uri="{3e2802c4-a4d2-4d8b-9148-e3be6c30e623}">
          <xlrd:rvb i="2310"/>
        </ext>
      </extLst>
    </bk>
    <bk>
      <extLst>
        <ext uri="{3e2802c4-a4d2-4d8b-9148-e3be6c30e623}">
          <xlrd:rvb i="2311"/>
        </ext>
      </extLst>
    </bk>
    <bk>
      <extLst>
        <ext uri="{3e2802c4-a4d2-4d8b-9148-e3be6c30e623}">
          <xlrd:rvb i="2312"/>
        </ext>
      </extLst>
    </bk>
    <bk>
      <extLst>
        <ext uri="{3e2802c4-a4d2-4d8b-9148-e3be6c30e623}">
          <xlrd:rvb i="2313"/>
        </ext>
      </extLst>
    </bk>
    <bk>
      <extLst>
        <ext uri="{3e2802c4-a4d2-4d8b-9148-e3be6c30e623}">
          <xlrd:rvb i="2314"/>
        </ext>
      </extLst>
    </bk>
    <bk>
      <extLst>
        <ext uri="{3e2802c4-a4d2-4d8b-9148-e3be6c30e623}">
          <xlrd:rvb i="2315"/>
        </ext>
      </extLst>
    </bk>
    <bk>
      <extLst>
        <ext uri="{3e2802c4-a4d2-4d8b-9148-e3be6c30e623}">
          <xlrd:rvb i="2316"/>
        </ext>
      </extLst>
    </bk>
    <bk>
      <extLst>
        <ext uri="{3e2802c4-a4d2-4d8b-9148-e3be6c30e623}">
          <xlrd:rvb i="2317"/>
        </ext>
      </extLst>
    </bk>
    <bk>
      <extLst>
        <ext uri="{3e2802c4-a4d2-4d8b-9148-e3be6c30e623}">
          <xlrd:rvb i="2318"/>
        </ext>
      </extLst>
    </bk>
    <bk>
      <extLst>
        <ext uri="{3e2802c4-a4d2-4d8b-9148-e3be6c30e623}">
          <xlrd:rvb i="2319"/>
        </ext>
      </extLst>
    </bk>
    <bk>
      <extLst>
        <ext uri="{3e2802c4-a4d2-4d8b-9148-e3be6c30e623}">
          <xlrd:rvb i="2320"/>
        </ext>
      </extLst>
    </bk>
    <bk>
      <extLst>
        <ext uri="{3e2802c4-a4d2-4d8b-9148-e3be6c30e623}">
          <xlrd:rvb i="2321"/>
        </ext>
      </extLst>
    </bk>
    <bk>
      <extLst>
        <ext uri="{3e2802c4-a4d2-4d8b-9148-e3be6c30e623}">
          <xlrd:rvb i="2322"/>
        </ext>
      </extLst>
    </bk>
    <bk>
      <extLst>
        <ext uri="{3e2802c4-a4d2-4d8b-9148-e3be6c30e623}">
          <xlrd:rvb i="2323"/>
        </ext>
      </extLst>
    </bk>
    <bk>
      <extLst>
        <ext uri="{3e2802c4-a4d2-4d8b-9148-e3be6c30e623}">
          <xlrd:rvb i="2324"/>
        </ext>
      </extLst>
    </bk>
    <bk>
      <extLst>
        <ext uri="{3e2802c4-a4d2-4d8b-9148-e3be6c30e623}">
          <xlrd:rvb i="2325"/>
        </ext>
      </extLst>
    </bk>
    <bk>
      <extLst>
        <ext uri="{3e2802c4-a4d2-4d8b-9148-e3be6c30e623}">
          <xlrd:rvb i="2326"/>
        </ext>
      </extLst>
    </bk>
    <bk>
      <extLst>
        <ext uri="{3e2802c4-a4d2-4d8b-9148-e3be6c30e623}">
          <xlrd:rvb i="2327"/>
        </ext>
      </extLst>
    </bk>
    <bk>
      <extLst>
        <ext uri="{3e2802c4-a4d2-4d8b-9148-e3be6c30e623}">
          <xlrd:rvb i="2328"/>
        </ext>
      </extLst>
    </bk>
    <bk>
      <extLst>
        <ext uri="{3e2802c4-a4d2-4d8b-9148-e3be6c30e623}">
          <xlrd:rvb i="2329"/>
        </ext>
      </extLst>
    </bk>
    <bk>
      <extLst>
        <ext uri="{3e2802c4-a4d2-4d8b-9148-e3be6c30e623}">
          <xlrd:rvb i="2330"/>
        </ext>
      </extLst>
    </bk>
    <bk>
      <extLst>
        <ext uri="{3e2802c4-a4d2-4d8b-9148-e3be6c30e623}">
          <xlrd:rvb i="2331"/>
        </ext>
      </extLst>
    </bk>
    <bk>
      <extLst>
        <ext uri="{3e2802c4-a4d2-4d8b-9148-e3be6c30e623}">
          <xlrd:rvb i="2332"/>
        </ext>
      </extLst>
    </bk>
    <bk>
      <extLst>
        <ext uri="{3e2802c4-a4d2-4d8b-9148-e3be6c30e623}">
          <xlrd:rvb i="2333"/>
        </ext>
      </extLst>
    </bk>
    <bk>
      <extLst>
        <ext uri="{3e2802c4-a4d2-4d8b-9148-e3be6c30e623}">
          <xlrd:rvb i="2334"/>
        </ext>
      </extLst>
    </bk>
    <bk>
      <extLst>
        <ext uri="{3e2802c4-a4d2-4d8b-9148-e3be6c30e623}">
          <xlrd:rvb i="2335"/>
        </ext>
      </extLst>
    </bk>
    <bk>
      <extLst>
        <ext uri="{3e2802c4-a4d2-4d8b-9148-e3be6c30e623}">
          <xlrd:rvb i="2336"/>
        </ext>
      </extLst>
    </bk>
    <bk>
      <extLst>
        <ext uri="{3e2802c4-a4d2-4d8b-9148-e3be6c30e623}">
          <xlrd:rvb i="2337"/>
        </ext>
      </extLst>
    </bk>
    <bk>
      <extLst>
        <ext uri="{3e2802c4-a4d2-4d8b-9148-e3be6c30e623}">
          <xlrd:rvb i="2338"/>
        </ext>
      </extLst>
    </bk>
    <bk>
      <extLst>
        <ext uri="{3e2802c4-a4d2-4d8b-9148-e3be6c30e623}">
          <xlrd:rvb i="2339"/>
        </ext>
      </extLst>
    </bk>
    <bk>
      <extLst>
        <ext uri="{3e2802c4-a4d2-4d8b-9148-e3be6c30e623}">
          <xlrd:rvb i="2340"/>
        </ext>
      </extLst>
    </bk>
    <bk>
      <extLst>
        <ext uri="{3e2802c4-a4d2-4d8b-9148-e3be6c30e623}">
          <xlrd:rvb i="2341"/>
        </ext>
      </extLst>
    </bk>
    <bk>
      <extLst>
        <ext uri="{3e2802c4-a4d2-4d8b-9148-e3be6c30e623}">
          <xlrd:rvb i="2342"/>
        </ext>
      </extLst>
    </bk>
    <bk>
      <extLst>
        <ext uri="{3e2802c4-a4d2-4d8b-9148-e3be6c30e623}">
          <xlrd:rvb i="2343"/>
        </ext>
      </extLst>
    </bk>
    <bk>
      <extLst>
        <ext uri="{3e2802c4-a4d2-4d8b-9148-e3be6c30e623}">
          <xlrd:rvb i="2344"/>
        </ext>
      </extLst>
    </bk>
    <bk>
      <extLst>
        <ext uri="{3e2802c4-a4d2-4d8b-9148-e3be6c30e623}">
          <xlrd:rvb i="2345"/>
        </ext>
      </extLst>
    </bk>
    <bk>
      <extLst>
        <ext uri="{3e2802c4-a4d2-4d8b-9148-e3be6c30e623}">
          <xlrd:rvb i="2346"/>
        </ext>
      </extLst>
    </bk>
    <bk>
      <extLst>
        <ext uri="{3e2802c4-a4d2-4d8b-9148-e3be6c30e623}">
          <xlrd:rvb i="2347"/>
        </ext>
      </extLst>
    </bk>
    <bk>
      <extLst>
        <ext uri="{3e2802c4-a4d2-4d8b-9148-e3be6c30e623}">
          <xlrd:rvb i="2348"/>
        </ext>
      </extLst>
    </bk>
    <bk>
      <extLst>
        <ext uri="{3e2802c4-a4d2-4d8b-9148-e3be6c30e623}">
          <xlrd:rvb i="2349"/>
        </ext>
      </extLst>
    </bk>
    <bk>
      <extLst>
        <ext uri="{3e2802c4-a4d2-4d8b-9148-e3be6c30e623}">
          <xlrd:rvb i="2350"/>
        </ext>
      </extLst>
    </bk>
    <bk>
      <extLst>
        <ext uri="{3e2802c4-a4d2-4d8b-9148-e3be6c30e623}">
          <xlrd:rvb i="2351"/>
        </ext>
      </extLst>
    </bk>
    <bk>
      <extLst>
        <ext uri="{3e2802c4-a4d2-4d8b-9148-e3be6c30e623}">
          <xlrd:rvb i="2352"/>
        </ext>
      </extLst>
    </bk>
    <bk>
      <extLst>
        <ext uri="{3e2802c4-a4d2-4d8b-9148-e3be6c30e623}">
          <xlrd:rvb i="2353"/>
        </ext>
      </extLst>
    </bk>
    <bk>
      <extLst>
        <ext uri="{3e2802c4-a4d2-4d8b-9148-e3be6c30e623}">
          <xlrd:rvb i="2354"/>
        </ext>
      </extLst>
    </bk>
    <bk>
      <extLst>
        <ext uri="{3e2802c4-a4d2-4d8b-9148-e3be6c30e623}">
          <xlrd:rvb i="2355"/>
        </ext>
      </extLst>
    </bk>
    <bk>
      <extLst>
        <ext uri="{3e2802c4-a4d2-4d8b-9148-e3be6c30e623}">
          <xlrd:rvb i="2356"/>
        </ext>
      </extLst>
    </bk>
    <bk>
      <extLst>
        <ext uri="{3e2802c4-a4d2-4d8b-9148-e3be6c30e623}">
          <xlrd:rvb i="2357"/>
        </ext>
      </extLst>
    </bk>
    <bk>
      <extLst>
        <ext uri="{3e2802c4-a4d2-4d8b-9148-e3be6c30e623}">
          <xlrd:rvb i="2358"/>
        </ext>
      </extLst>
    </bk>
    <bk>
      <extLst>
        <ext uri="{3e2802c4-a4d2-4d8b-9148-e3be6c30e623}">
          <xlrd:rvb i="2359"/>
        </ext>
      </extLst>
    </bk>
    <bk>
      <extLst>
        <ext uri="{3e2802c4-a4d2-4d8b-9148-e3be6c30e623}">
          <xlrd:rvb i="2360"/>
        </ext>
      </extLst>
    </bk>
    <bk>
      <extLst>
        <ext uri="{3e2802c4-a4d2-4d8b-9148-e3be6c30e623}">
          <xlrd:rvb i="2361"/>
        </ext>
      </extLst>
    </bk>
    <bk>
      <extLst>
        <ext uri="{3e2802c4-a4d2-4d8b-9148-e3be6c30e623}">
          <xlrd:rvb i="2362"/>
        </ext>
      </extLst>
    </bk>
    <bk>
      <extLst>
        <ext uri="{3e2802c4-a4d2-4d8b-9148-e3be6c30e623}">
          <xlrd:rvb i="2363"/>
        </ext>
      </extLst>
    </bk>
    <bk>
      <extLst>
        <ext uri="{3e2802c4-a4d2-4d8b-9148-e3be6c30e623}">
          <xlrd:rvb i="2364"/>
        </ext>
      </extLst>
    </bk>
    <bk>
      <extLst>
        <ext uri="{3e2802c4-a4d2-4d8b-9148-e3be6c30e623}">
          <xlrd:rvb i="2365"/>
        </ext>
      </extLst>
    </bk>
    <bk>
      <extLst>
        <ext uri="{3e2802c4-a4d2-4d8b-9148-e3be6c30e623}">
          <xlrd:rvb i="2366"/>
        </ext>
      </extLst>
    </bk>
    <bk>
      <extLst>
        <ext uri="{3e2802c4-a4d2-4d8b-9148-e3be6c30e623}">
          <xlrd:rvb i="2367"/>
        </ext>
      </extLst>
    </bk>
    <bk>
      <extLst>
        <ext uri="{3e2802c4-a4d2-4d8b-9148-e3be6c30e623}">
          <xlrd:rvb i="2368"/>
        </ext>
      </extLst>
    </bk>
    <bk>
      <extLst>
        <ext uri="{3e2802c4-a4d2-4d8b-9148-e3be6c30e623}">
          <xlrd:rvb i="2369"/>
        </ext>
      </extLst>
    </bk>
    <bk>
      <extLst>
        <ext uri="{3e2802c4-a4d2-4d8b-9148-e3be6c30e623}">
          <xlrd:rvb i="2370"/>
        </ext>
      </extLst>
    </bk>
    <bk>
      <extLst>
        <ext uri="{3e2802c4-a4d2-4d8b-9148-e3be6c30e623}">
          <xlrd:rvb i="2371"/>
        </ext>
      </extLst>
    </bk>
    <bk>
      <extLst>
        <ext uri="{3e2802c4-a4d2-4d8b-9148-e3be6c30e623}">
          <xlrd:rvb i="2372"/>
        </ext>
      </extLst>
    </bk>
    <bk>
      <extLst>
        <ext uri="{3e2802c4-a4d2-4d8b-9148-e3be6c30e623}">
          <xlrd:rvb i="2373"/>
        </ext>
      </extLst>
    </bk>
    <bk>
      <extLst>
        <ext uri="{3e2802c4-a4d2-4d8b-9148-e3be6c30e623}">
          <xlrd:rvb i="2374"/>
        </ext>
      </extLst>
    </bk>
    <bk>
      <extLst>
        <ext uri="{3e2802c4-a4d2-4d8b-9148-e3be6c30e623}">
          <xlrd:rvb i="2375"/>
        </ext>
      </extLst>
    </bk>
    <bk>
      <extLst>
        <ext uri="{3e2802c4-a4d2-4d8b-9148-e3be6c30e623}">
          <xlrd:rvb i="2376"/>
        </ext>
      </extLst>
    </bk>
    <bk>
      <extLst>
        <ext uri="{3e2802c4-a4d2-4d8b-9148-e3be6c30e623}">
          <xlrd:rvb i="2377"/>
        </ext>
      </extLst>
    </bk>
    <bk>
      <extLst>
        <ext uri="{3e2802c4-a4d2-4d8b-9148-e3be6c30e623}">
          <xlrd:rvb i="2378"/>
        </ext>
      </extLst>
    </bk>
    <bk>
      <extLst>
        <ext uri="{3e2802c4-a4d2-4d8b-9148-e3be6c30e623}">
          <xlrd:rvb i="2379"/>
        </ext>
      </extLst>
    </bk>
    <bk>
      <extLst>
        <ext uri="{3e2802c4-a4d2-4d8b-9148-e3be6c30e623}">
          <xlrd:rvb i="2380"/>
        </ext>
      </extLst>
    </bk>
    <bk>
      <extLst>
        <ext uri="{3e2802c4-a4d2-4d8b-9148-e3be6c30e623}">
          <xlrd:rvb i="2381"/>
        </ext>
      </extLst>
    </bk>
    <bk>
      <extLst>
        <ext uri="{3e2802c4-a4d2-4d8b-9148-e3be6c30e623}">
          <xlrd:rvb i="2382"/>
        </ext>
      </extLst>
    </bk>
    <bk>
      <extLst>
        <ext uri="{3e2802c4-a4d2-4d8b-9148-e3be6c30e623}">
          <xlrd:rvb i="2383"/>
        </ext>
      </extLst>
    </bk>
    <bk>
      <extLst>
        <ext uri="{3e2802c4-a4d2-4d8b-9148-e3be6c30e623}">
          <xlrd:rvb i="2384"/>
        </ext>
      </extLst>
    </bk>
    <bk>
      <extLst>
        <ext uri="{3e2802c4-a4d2-4d8b-9148-e3be6c30e623}">
          <xlrd:rvb i="2385"/>
        </ext>
      </extLst>
    </bk>
    <bk>
      <extLst>
        <ext uri="{3e2802c4-a4d2-4d8b-9148-e3be6c30e623}">
          <xlrd:rvb i="2386"/>
        </ext>
      </extLst>
    </bk>
    <bk>
      <extLst>
        <ext uri="{3e2802c4-a4d2-4d8b-9148-e3be6c30e623}">
          <xlrd:rvb i="2387"/>
        </ext>
      </extLst>
    </bk>
    <bk>
      <extLst>
        <ext uri="{3e2802c4-a4d2-4d8b-9148-e3be6c30e623}">
          <xlrd:rvb i="2388"/>
        </ext>
      </extLst>
    </bk>
    <bk>
      <extLst>
        <ext uri="{3e2802c4-a4d2-4d8b-9148-e3be6c30e623}">
          <xlrd:rvb i="2389"/>
        </ext>
      </extLst>
    </bk>
    <bk>
      <extLst>
        <ext uri="{3e2802c4-a4d2-4d8b-9148-e3be6c30e623}">
          <xlrd:rvb i="2390"/>
        </ext>
      </extLst>
    </bk>
    <bk>
      <extLst>
        <ext uri="{3e2802c4-a4d2-4d8b-9148-e3be6c30e623}">
          <xlrd:rvb i="2391"/>
        </ext>
      </extLst>
    </bk>
    <bk>
      <extLst>
        <ext uri="{3e2802c4-a4d2-4d8b-9148-e3be6c30e623}">
          <xlrd:rvb i="2392"/>
        </ext>
      </extLst>
    </bk>
    <bk>
      <extLst>
        <ext uri="{3e2802c4-a4d2-4d8b-9148-e3be6c30e623}">
          <xlrd:rvb i="2393"/>
        </ext>
      </extLst>
    </bk>
    <bk>
      <extLst>
        <ext uri="{3e2802c4-a4d2-4d8b-9148-e3be6c30e623}">
          <xlrd:rvb i="2394"/>
        </ext>
      </extLst>
    </bk>
    <bk>
      <extLst>
        <ext uri="{3e2802c4-a4d2-4d8b-9148-e3be6c30e623}">
          <xlrd:rvb i="2395"/>
        </ext>
      </extLst>
    </bk>
    <bk>
      <extLst>
        <ext uri="{3e2802c4-a4d2-4d8b-9148-e3be6c30e623}">
          <xlrd:rvb i="2396"/>
        </ext>
      </extLst>
    </bk>
    <bk>
      <extLst>
        <ext uri="{3e2802c4-a4d2-4d8b-9148-e3be6c30e623}">
          <xlrd:rvb i="2397"/>
        </ext>
      </extLst>
    </bk>
    <bk>
      <extLst>
        <ext uri="{3e2802c4-a4d2-4d8b-9148-e3be6c30e623}">
          <xlrd:rvb i="2398"/>
        </ext>
      </extLst>
    </bk>
    <bk>
      <extLst>
        <ext uri="{3e2802c4-a4d2-4d8b-9148-e3be6c30e623}">
          <xlrd:rvb i="2399"/>
        </ext>
      </extLst>
    </bk>
    <bk>
      <extLst>
        <ext uri="{3e2802c4-a4d2-4d8b-9148-e3be6c30e623}">
          <xlrd:rvb i="2400"/>
        </ext>
      </extLst>
    </bk>
    <bk>
      <extLst>
        <ext uri="{3e2802c4-a4d2-4d8b-9148-e3be6c30e623}">
          <xlrd:rvb i="2401"/>
        </ext>
      </extLst>
    </bk>
    <bk>
      <extLst>
        <ext uri="{3e2802c4-a4d2-4d8b-9148-e3be6c30e623}">
          <xlrd:rvb i="2402"/>
        </ext>
      </extLst>
    </bk>
    <bk>
      <extLst>
        <ext uri="{3e2802c4-a4d2-4d8b-9148-e3be6c30e623}">
          <xlrd:rvb i="2403"/>
        </ext>
      </extLst>
    </bk>
    <bk>
      <extLst>
        <ext uri="{3e2802c4-a4d2-4d8b-9148-e3be6c30e623}">
          <xlrd:rvb i="2404"/>
        </ext>
      </extLst>
    </bk>
    <bk>
      <extLst>
        <ext uri="{3e2802c4-a4d2-4d8b-9148-e3be6c30e623}">
          <xlrd:rvb i="2405"/>
        </ext>
      </extLst>
    </bk>
    <bk>
      <extLst>
        <ext uri="{3e2802c4-a4d2-4d8b-9148-e3be6c30e623}">
          <xlrd:rvb i="2406"/>
        </ext>
      </extLst>
    </bk>
    <bk>
      <extLst>
        <ext uri="{3e2802c4-a4d2-4d8b-9148-e3be6c30e623}">
          <xlrd:rvb i="2407"/>
        </ext>
      </extLst>
    </bk>
    <bk>
      <extLst>
        <ext uri="{3e2802c4-a4d2-4d8b-9148-e3be6c30e623}">
          <xlrd:rvb i="2408"/>
        </ext>
      </extLst>
    </bk>
    <bk>
      <extLst>
        <ext uri="{3e2802c4-a4d2-4d8b-9148-e3be6c30e623}">
          <xlrd:rvb i="2409"/>
        </ext>
      </extLst>
    </bk>
    <bk>
      <extLst>
        <ext uri="{3e2802c4-a4d2-4d8b-9148-e3be6c30e623}">
          <xlrd:rvb i="2410"/>
        </ext>
      </extLst>
    </bk>
    <bk>
      <extLst>
        <ext uri="{3e2802c4-a4d2-4d8b-9148-e3be6c30e623}">
          <xlrd:rvb i="2411"/>
        </ext>
      </extLst>
    </bk>
    <bk>
      <extLst>
        <ext uri="{3e2802c4-a4d2-4d8b-9148-e3be6c30e623}">
          <xlrd:rvb i="2412"/>
        </ext>
      </extLst>
    </bk>
    <bk>
      <extLst>
        <ext uri="{3e2802c4-a4d2-4d8b-9148-e3be6c30e623}">
          <xlrd:rvb i="2413"/>
        </ext>
      </extLst>
    </bk>
    <bk>
      <extLst>
        <ext uri="{3e2802c4-a4d2-4d8b-9148-e3be6c30e623}">
          <xlrd:rvb i="2414"/>
        </ext>
      </extLst>
    </bk>
    <bk>
      <extLst>
        <ext uri="{3e2802c4-a4d2-4d8b-9148-e3be6c30e623}">
          <xlrd:rvb i="2415"/>
        </ext>
      </extLst>
    </bk>
    <bk>
      <extLst>
        <ext uri="{3e2802c4-a4d2-4d8b-9148-e3be6c30e623}">
          <xlrd:rvb i="2416"/>
        </ext>
      </extLst>
    </bk>
    <bk>
      <extLst>
        <ext uri="{3e2802c4-a4d2-4d8b-9148-e3be6c30e623}">
          <xlrd:rvb i="2417"/>
        </ext>
      </extLst>
    </bk>
    <bk>
      <extLst>
        <ext uri="{3e2802c4-a4d2-4d8b-9148-e3be6c30e623}">
          <xlrd:rvb i="2418"/>
        </ext>
      </extLst>
    </bk>
    <bk>
      <extLst>
        <ext uri="{3e2802c4-a4d2-4d8b-9148-e3be6c30e623}">
          <xlrd:rvb i="2419"/>
        </ext>
      </extLst>
    </bk>
    <bk>
      <extLst>
        <ext uri="{3e2802c4-a4d2-4d8b-9148-e3be6c30e623}">
          <xlrd:rvb i="2420"/>
        </ext>
      </extLst>
    </bk>
    <bk>
      <extLst>
        <ext uri="{3e2802c4-a4d2-4d8b-9148-e3be6c30e623}">
          <xlrd:rvb i="2421"/>
        </ext>
      </extLst>
    </bk>
    <bk>
      <extLst>
        <ext uri="{3e2802c4-a4d2-4d8b-9148-e3be6c30e623}">
          <xlrd:rvb i="2422"/>
        </ext>
      </extLst>
    </bk>
    <bk>
      <extLst>
        <ext uri="{3e2802c4-a4d2-4d8b-9148-e3be6c30e623}">
          <xlrd:rvb i="2423"/>
        </ext>
      </extLst>
    </bk>
    <bk>
      <extLst>
        <ext uri="{3e2802c4-a4d2-4d8b-9148-e3be6c30e623}">
          <xlrd:rvb i="2424"/>
        </ext>
      </extLst>
    </bk>
    <bk>
      <extLst>
        <ext uri="{3e2802c4-a4d2-4d8b-9148-e3be6c30e623}">
          <xlrd:rvb i="2425"/>
        </ext>
      </extLst>
    </bk>
    <bk>
      <extLst>
        <ext uri="{3e2802c4-a4d2-4d8b-9148-e3be6c30e623}">
          <xlrd:rvb i="2426"/>
        </ext>
      </extLst>
    </bk>
    <bk>
      <extLst>
        <ext uri="{3e2802c4-a4d2-4d8b-9148-e3be6c30e623}">
          <xlrd:rvb i="2427"/>
        </ext>
      </extLst>
    </bk>
    <bk>
      <extLst>
        <ext uri="{3e2802c4-a4d2-4d8b-9148-e3be6c30e623}">
          <xlrd:rvb i="2428"/>
        </ext>
      </extLst>
    </bk>
    <bk>
      <extLst>
        <ext uri="{3e2802c4-a4d2-4d8b-9148-e3be6c30e623}">
          <xlrd:rvb i="2429"/>
        </ext>
      </extLst>
    </bk>
    <bk>
      <extLst>
        <ext uri="{3e2802c4-a4d2-4d8b-9148-e3be6c30e623}">
          <xlrd:rvb i="2430"/>
        </ext>
      </extLst>
    </bk>
    <bk>
      <extLst>
        <ext uri="{3e2802c4-a4d2-4d8b-9148-e3be6c30e623}">
          <xlrd:rvb i="2431"/>
        </ext>
      </extLst>
    </bk>
    <bk>
      <extLst>
        <ext uri="{3e2802c4-a4d2-4d8b-9148-e3be6c30e623}">
          <xlrd:rvb i="2432"/>
        </ext>
      </extLst>
    </bk>
    <bk>
      <extLst>
        <ext uri="{3e2802c4-a4d2-4d8b-9148-e3be6c30e623}">
          <xlrd:rvb i="2433"/>
        </ext>
      </extLst>
    </bk>
    <bk>
      <extLst>
        <ext uri="{3e2802c4-a4d2-4d8b-9148-e3be6c30e623}">
          <xlrd:rvb i="2434"/>
        </ext>
      </extLst>
    </bk>
    <bk>
      <extLst>
        <ext uri="{3e2802c4-a4d2-4d8b-9148-e3be6c30e623}">
          <xlrd:rvb i="2435"/>
        </ext>
      </extLst>
    </bk>
    <bk>
      <extLst>
        <ext uri="{3e2802c4-a4d2-4d8b-9148-e3be6c30e623}">
          <xlrd:rvb i="2436"/>
        </ext>
      </extLst>
    </bk>
    <bk>
      <extLst>
        <ext uri="{3e2802c4-a4d2-4d8b-9148-e3be6c30e623}">
          <xlrd:rvb i="2437"/>
        </ext>
      </extLst>
    </bk>
    <bk>
      <extLst>
        <ext uri="{3e2802c4-a4d2-4d8b-9148-e3be6c30e623}">
          <xlrd:rvb i="2438"/>
        </ext>
      </extLst>
    </bk>
    <bk>
      <extLst>
        <ext uri="{3e2802c4-a4d2-4d8b-9148-e3be6c30e623}">
          <xlrd:rvb i="2439"/>
        </ext>
      </extLst>
    </bk>
    <bk>
      <extLst>
        <ext uri="{3e2802c4-a4d2-4d8b-9148-e3be6c30e623}">
          <xlrd:rvb i="2440"/>
        </ext>
      </extLst>
    </bk>
    <bk>
      <extLst>
        <ext uri="{3e2802c4-a4d2-4d8b-9148-e3be6c30e623}">
          <xlrd:rvb i="2441"/>
        </ext>
      </extLst>
    </bk>
    <bk>
      <extLst>
        <ext uri="{3e2802c4-a4d2-4d8b-9148-e3be6c30e623}">
          <xlrd:rvb i="2442"/>
        </ext>
      </extLst>
    </bk>
    <bk>
      <extLst>
        <ext uri="{3e2802c4-a4d2-4d8b-9148-e3be6c30e623}">
          <xlrd:rvb i="2443"/>
        </ext>
      </extLst>
    </bk>
    <bk>
      <extLst>
        <ext uri="{3e2802c4-a4d2-4d8b-9148-e3be6c30e623}">
          <xlrd:rvb i="2444"/>
        </ext>
      </extLst>
    </bk>
    <bk>
      <extLst>
        <ext uri="{3e2802c4-a4d2-4d8b-9148-e3be6c30e623}">
          <xlrd:rvb i="2445"/>
        </ext>
      </extLst>
    </bk>
    <bk>
      <extLst>
        <ext uri="{3e2802c4-a4d2-4d8b-9148-e3be6c30e623}">
          <xlrd:rvb i="2446"/>
        </ext>
      </extLst>
    </bk>
    <bk>
      <extLst>
        <ext uri="{3e2802c4-a4d2-4d8b-9148-e3be6c30e623}">
          <xlrd:rvb i="2447"/>
        </ext>
      </extLst>
    </bk>
    <bk>
      <extLst>
        <ext uri="{3e2802c4-a4d2-4d8b-9148-e3be6c30e623}">
          <xlrd:rvb i="2448"/>
        </ext>
      </extLst>
    </bk>
    <bk>
      <extLst>
        <ext uri="{3e2802c4-a4d2-4d8b-9148-e3be6c30e623}">
          <xlrd:rvb i="2449"/>
        </ext>
      </extLst>
    </bk>
    <bk>
      <extLst>
        <ext uri="{3e2802c4-a4d2-4d8b-9148-e3be6c30e623}">
          <xlrd:rvb i="2450"/>
        </ext>
      </extLst>
    </bk>
    <bk>
      <extLst>
        <ext uri="{3e2802c4-a4d2-4d8b-9148-e3be6c30e623}">
          <xlrd:rvb i="2451"/>
        </ext>
      </extLst>
    </bk>
    <bk>
      <extLst>
        <ext uri="{3e2802c4-a4d2-4d8b-9148-e3be6c30e623}">
          <xlrd:rvb i="2452"/>
        </ext>
      </extLst>
    </bk>
    <bk>
      <extLst>
        <ext uri="{3e2802c4-a4d2-4d8b-9148-e3be6c30e623}">
          <xlrd:rvb i="2453"/>
        </ext>
      </extLst>
    </bk>
    <bk>
      <extLst>
        <ext uri="{3e2802c4-a4d2-4d8b-9148-e3be6c30e623}">
          <xlrd:rvb i="2454"/>
        </ext>
      </extLst>
    </bk>
    <bk>
      <extLst>
        <ext uri="{3e2802c4-a4d2-4d8b-9148-e3be6c30e623}">
          <xlrd:rvb i="2455"/>
        </ext>
      </extLst>
    </bk>
    <bk>
      <extLst>
        <ext uri="{3e2802c4-a4d2-4d8b-9148-e3be6c30e623}">
          <xlrd:rvb i="2456"/>
        </ext>
      </extLst>
    </bk>
    <bk>
      <extLst>
        <ext uri="{3e2802c4-a4d2-4d8b-9148-e3be6c30e623}">
          <xlrd:rvb i="2457"/>
        </ext>
      </extLst>
    </bk>
    <bk>
      <extLst>
        <ext uri="{3e2802c4-a4d2-4d8b-9148-e3be6c30e623}">
          <xlrd:rvb i="2458"/>
        </ext>
      </extLst>
    </bk>
    <bk>
      <extLst>
        <ext uri="{3e2802c4-a4d2-4d8b-9148-e3be6c30e623}">
          <xlrd:rvb i="2459"/>
        </ext>
      </extLst>
    </bk>
    <bk>
      <extLst>
        <ext uri="{3e2802c4-a4d2-4d8b-9148-e3be6c30e623}">
          <xlrd:rvb i="2460"/>
        </ext>
      </extLst>
    </bk>
    <bk>
      <extLst>
        <ext uri="{3e2802c4-a4d2-4d8b-9148-e3be6c30e623}">
          <xlrd:rvb i="2461"/>
        </ext>
      </extLst>
    </bk>
    <bk>
      <extLst>
        <ext uri="{3e2802c4-a4d2-4d8b-9148-e3be6c30e623}">
          <xlrd:rvb i="2462"/>
        </ext>
      </extLst>
    </bk>
    <bk>
      <extLst>
        <ext uri="{3e2802c4-a4d2-4d8b-9148-e3be6c30e623}">
          <xlrd:rvb i="2463"/>
        </ext>
      </extLst>
    </bk>
    <bk>
      <extLst>
        <ext uri="{3e2802c4-a4d2-4d8b-9148-e3be6c30e623}">
          <xlrd:rvb i="2464"/>
        </ext>
      </extLst>
    </bk>
    <bk>
      <extLst>
        <ext uri="{3e2802c4-a4d2-4d8b-9148-e3be6c30e623}">
          <xlrd:rvb i="2465"/>
        </ext>
      </extLst>
    </bk>
    <bk>
      <extLst>
        <ext uri="{3e2802c4-a4d2-4d8b-9148-e3be6c30e623}">
          <xlrd:rvb i="2466"/>
        </ext>
      </extLst>
    </bk>
    <bk>
      <extLst>
        <ext uri="{3e2802c4-a4d2-4d8b-9148-e3be6c30e623}">
          <xlrd:rvb i="2467"/>
        </ext>
      </extLst>
    </bk>
    <bk>
      <extLst>
        <ext uri="{3e2802c4-a4d2-4d8b-9148-e3be6c30e623}">
          <xlrd:rvb i="2468"/>
        </ext>
      </extLst>
    </bk>
    <bk>
      <extLst>
        <ext uri="{3e2802c4-a4d2-4d8b-9148-e3be6c30e623}">
          <xlrd:rvb i="2469"/>
        </ext>
      </extLst>
    </bk>
    <bk>
      <extLst>
        <ext uri="{3e2802c4-a4d2-4d8b-9148-e3be6c30e623}">
          <xlrd:rvb i="2470"/>
        </ext>
      </extLst>
    </bk>
    <bk>
      <extLst>
        <ext uri="{3e2802c4-a4d2-4d8b-9148-e3be6c30e623}">
          <xlrd:rvb i="2471"/>
        </ext>
      </extLst>
    </bk>
    <bk>
      <extLst>
        <ext uri="{3e2802c4-a4d2-4d8b-9148-e3be6c30e623}">
          <xlrd:rvb i="2472"/>
        </ext>
      </extLst>
    </bk>
    <bk>
      <extLst>
        <ext uri="{3e2802c4-a4d2-4d8b-9148-e3be6c30e623}">
          <xlrd:rvb i="2473"/>
        </ext>
      </extLst>
    </bk>
    <bk>
      <extLst>
        <ext uri="{3e2802c4-a4d2-4d8b-9148-e3be6c30e623}">
          <xlrd:rvb i="2474"/>
        </ext>
      </extLst>
    </bk>
    <bk>
      <extLst>
        <ext uri="{3e2802c4-a4d2-4d8b-9148-e3be6c30e623}">
          <xlrd:rvb i="2475"/>
        </ext>
      </extLst>
    </bk>
    <bk>
      <extLst>
        <ext uri="{3e2802c4-a4d2-4d8b-9148-e3be6c30e623}">
          <xlrd:rvb i="2476"/>
        </ext>
      </extLst>
    </bk>
    <bk>
      <extLst>
        <ext uri="{3e2802c4-a4d2-4d8b-9148-e3be6c30e623}">
          <xlrd:rvb i="2477"/>
        </ext>
      </extLst>
    </bk>
    <bk>
      <extLst>
        <ext uri="{3e2802c4-a4d2-4d8b-9148-e3be6c30e623}">
          <xlrd:rvb i="2478"/>
        </ext>
      </extLst>
    </bk>
    <bk>
      <extLst>
        <ext uri="{3e2802c4-a4d2-4d8b-9148-e3be6c30e623}">
          <xlrd:rvb i="2479"/>
        </ext>
      </extLst>
    </bk>
    <bk>
      <extLst>
        <ext uri="{3e2802c4-a4d2-4d8b-9148-e3be6c30e623}">
          <xlrd:rvb i="2480"/>
        </ext>
      </extLst>
    </bk>
    <bk>
      <extLst>
        <ext uri="{3e2802c4-a4d2-4d8b-9148-e3be6c30e623}">
          <xlrd:rvb i="2481"/>
        </ext>
      </extLst>
    </bk>
    <bk>
      <extLst>
        <ext uri="{3e2802c4-a4d2-4d8b-9148-e3be6c30e623}">
          <xlrd:rvb i="2482"/>
        </ext>
      </extLst>
    </bk>
    <bk>
      <extLst>
        <ext uri="{3e2802c4-a4d2-4d8b-9148-e3be6c30e623}">
          <xlrd:rvb i="2483"/>
        </ext>
      </extLst>
    </bk>
    <bk>
      <extLst>
        <ext uri="{3e2802c4-a4d2-4d8b-9148-e3be6c30e623}">
          <xlrd:rvb i="2484"/>
        </ext>
      </extLst>
    </bk>
    <bk>
      <extLst>
        <ext uri="{3e2802c4-a4d2-4d8b-9148-e3be6c30e623}">
          <xlrd:rvb i="2485"/>
        </ext>
      </extLst>
    </bk>
    <bk>
      <extLst>
        <ext uri="{3e2802c4-a4d2-4d8b-9148-e3be6c30e623}">
          <xlrd:rvb i="2486"/>
        </ext>
      </extLst>
    </bk>
    <bk>
      <extLst>
        <ext uri="{3e2802c4-a4d2-4d8b-9148-e3be6c30e623}">
          <xlrd:rvb i="2487"/>
        </ext>
      </extLst>
    </bk>
    <bk>
      <extLst>
        <ext uri="{3e2802c4-a4d2-4d8b-9148-e3be6c30e623}">
          <xlrd:rvb i="2488"/>
        </ext>
      </extLst>
    </bk>
    <bk>
      <extLst>
        <ext uri="{3e2802c4-a4d2-4d8b-9148-e3be6c30e623}">
          <xlrd:rvb i="2489"/>
        </ext>
      </extLst>
    </bk>
    <bk>
      <extLst>
        <ext uri="{3e2802c4-a4d2-4d8b-9148-e3be6c30e623}">
          <xlrd:rvb i="2490"/>
        </ext>
      </extLst>
    </bk>
    <bk>
      <extLst>
        <ext uri="{3e2802c4-a4d2-4d8b-9148-e3be6c30e623}">
          <xlrd:rvb i="2491"/>
        </ext>
      </extLst>
    </bk>
    <bk>
      <extLst>
        <ext uri="{3e2802c4-a4d2-4d8b-9148-e3be6c30e623}">
          <xlrd:rvb i="2492"/>
        </ext>
      </extLst>
    </bk>
    <bk>
      <extLst>
        <ext uri="{3e2802c4-a4d2-4d8b-9148-e3be6c30e623}">
          <xlrd:rvb i="2493"/>
        </ext>
      </extLst>
    </bk>
    <bk>
      <extLst>
        <ext uri="{3e2802c4-a4d2-4d8b-9148-e3be6c30e623}">
          <xlrd:rvb i="2494"/>
        </ext>
      </extLst>
    </bk>
    <bk>
      <extLst>
        <ext uri="{3e2802c4-a4d2-4d8b-9148-e3be6c30e623}">
          <xlrd:rvb i="2495"/>
        </ext>
      </extLst>
    </bk>
    <bk>
      <extLst>
        <ext uri="{3e2802c4-a4d2-4d8b-9148-e3be6c30e623}">
          <xlrd:rvb i="2496"/>
        </ext>
      </extLst>
    </bk>
    <bk>
      <extLst>
        <ext uri="{3e2802c4-a4d2-4d8b-9148-e3be6c30e623}">
          <xlrd:rvb i="2497"/>
        </ext>
      </extLst>
    </bk>
    <bk>
      <extLst>
        <ext uri="{3e2802c4-a4d2-4d8b-9148-e3be6c30e623}">
          <xlrd:rvb i="2498"/>
        </ext>
      </extLst>
    </bk>
    <bk>
      <extLst>
        <ext uri="{3e2802c4-a4d2-4d8b-9148-e3be6c30e623}">
          <xlrd:rvb i="2499"/>
        </ext>
      </extLst>
    </bk>
    <bk>
      <extLst>
        <ext uri="{3e2802c4-a4d2-4d8b-9148-e3be6c30e623}">
          <xlrd:rvb i="2500"/>
        </ext>
      </extLst>
    </bk>
    <bk>
      <extLst>
        <ext uri="{3e2802c4-a4d2-4d8b-9148-e3be6c30e623}">
          <xlrd:rvb i="2501"/>
        </ext>
      </extLst>
    </bk>
    <bk>
      <extLst>
        <ext uri="{3e2802c4-a4d2-4d8b-9148-e3be6c30e623}">
          <xlrd:rvb i="2502"/>
        </ext>
      </extLst>
    </bk>
    <bk>
      <extLst>
        <ext uri="{3e2802c4-a4d2-4d8b-9148-e3be6c30e623}">
          <xlrd:rvb i="2503"/>
        </ext>
      </extLst>
    </bk>
    <bk>
      <extLst>
        <ext uri="{3e2802c4-a4d2-4d8b-9148-e3be6c30e623}">
          <xlrd:rvb i="2504"/>
        </ext>
      </extLst>
    </bk>
    <bk>
      <extLst>
        <ext uri="{3e2802c4-a4d2-4d8b-9148-e3be6c30e623}">
          <xlrd:rvb i="2505"/>
        </ext>
      </extLst>
    </bk>
    <bk>
      <extLst>
        <ext uri="{3e2802c4-a4d2-4d8b-9148-e3be6c30e623}">
          <xlrd:rvb i="2506"/>
        </ext>
      </extLst>
    </bk>
    <bk>
      <extLst>
        <ext uri="{3e2802c4-a4d2-4d8b-9148-e3be6c30e623}">
          <xlrd:rvb i="2507"/>
        </ext>
      </extLst>
    </bk>
    <bk>
      <extLst>
        <ext uri="{3e2802c4-a4d2-4d8b-9148-e3be6c30e623}">
          <xlrd:rvb i="2508"/>
        </ext>
      </extLst>
    </bk>
    <bk>
      <extLst>
        <ext uri="{3e2802c4-a4d2-4d8b-9148-e3be6c30e623}">
          <xlrd:rvb i="2509"/>
        </ext>
      </extLst>
    </bk>
    <bk>
      <extLst>
        <ext uri="{3e2802c4-a4d2-4d8b-9148-e3be6c30e623}">
          <xlrd:rvb i="2510"/>
        </ext>
      </extLst>
    </bk>
    <bk>
      <extLst>
        <ext uri="{3e2802c4-a4d2-4d8b-9148-e3be6c30e623}">
          <xlrd:rvb i="2511"/>
        </ext>
      </extLst>
    </bk>
    <bk>
      <extLst>
        <ext uri="{3e2802c4-a4d2-4d8b-9148-e3be6c30e623}">
          <xlrd:rvb i="2512"/>
        </ext>
      </extLst>
    </bk>
    <bk>
      <extLst>
        <ext uri="{3e2802c4-a4d2-4d8b-9148-e3be6c30e623}">
          <xlrd:rvb i="2513"/>
        </ext>
      </extLst>
    </bk>
    <bk>
      <extLst>
        <ext uri="{3e2802c4-a4d2-4d8b-9148-e3be6c30e623}">
          <xlrd:rvb i="2514"/>
        </ext>
      </extLst>
    </bk>
    <bk>
      <extLst>
        <ext uri="{3e2802c4-a4d2-4d8b-9148-e3be6c30e623}">
          <xlrd:rvb i="2515"/>
        </ext>
      </extLst>
    </bk>
    <bk>
      <extLst>
        <ext uri="{3e2802c4-a4d2-4d8b-9148-e3be6c30e623}">
          <xlrd:rvb i="2516"/>
        </ext>
      </extLst>
    </bk>
    <bk>
      <extLst>
        <ext uri="{3e2802c4-a4d2-4d8b-9148-e3be6c30e623}">
          <xlrd:rvb i="2517"/>
        </ext>
      </extLst>
    </bk>
    <bk>
      <extLst>
        <ext uri="{3e2802c4-a4d2-4d8b-9148-e3be6c30e623}">
          <xlrd:rvb i="2518"/>
        </ext>
      </extLst>
    </bk>
    <bk>
      <extLst>
        <ext uri="{3e2802c4-a4d2-4d8b-9148-e3be6c30e623}">
          <xlrd:rvb i="2519"/>
        </ext>
      </extLst>
    </bk>
    <bk>
      <extLst>
        <ext uri="{3e2802c4-a4d2-4d8b-9148-e3be6c30e623}">
          <xlrd:rvb i="2520"/>
        </ext>
      </extLst>
    </bk>
    <bk>
      <extLst>
        <ext uri="{3e2802c4-a4d2-4d8b-9148-e3be6c30e623}">
          <xlrd:rvb i="2521"/>
        </ext>
      </extLst>
    </bk>
    <bk>
      <extLst>
        <ext uri="{3e2802c4-a4d2-4d8b-9148-e3be6c30e623}">
          <xlrd:rvb i="2522"/>
        </ext>
      </extLst>
    </bk>
    <bk>
      <extLst>
        <ext uri="{3e2802c4-a4d2-4d8b-9148-e3be6c30e623}">
          <xlrd:rvb i="2523"/>
        </ext>
      </extLst>
    </bk>
    <bk>
      <extLst>
        <ext uri="{3e2802c4-a4d2-4d8b-9148-e3be6c30e623}">
          <xlrd:rvb i="2524"/>
        </ext>
      </extLst>
    </bk>
    <bk>
      <extLst>
        <ext uri="{3e2802c4-a4d2-4d8b-9148-e3be6c30e623}">
          <xlrd:rvb i="2525"/>
        </ext>
      </extLst>
    </bk>
    <bk>
      <extLst>
        <ext uri="{3e2802c4-a4d2-4d8b-9148-e3be6c30e623}">
          <xlrd:rvb i="2526"/>
        </ext>
      </extLst>
    </bk>
    <bk>
      <extLst>
        <ext uri="{3e2802c4-a4d2-4d8b-9148-e3be6c30e623}">
          <xlrd:rvb i="2527"/>
        </ext>
      </extLst>
    </bk>
    <bk>
      <extLst>
        <ext uri="{3e2802c4-a4d2-4d8b-9148-e3be6c30e623}">
          <xlrd:rvb i="2528"/>
        </ext>
      </extLst>
    </bk>
    <bk>
      <extLst>
        <ext uri="{3e2802c4-a4d2-4d8b-9148-e3be6c30e623}">
          <xlrd:rvb i="2529"/>
        </ext>
      </extLst>
    </bk>
    <bk>
      <extLst>
        <ext uri="{3e2802c4-a4d2-4d8b-9148-e3be6c30e623}">
          <xlrd:rvb i="2530"/>
        </ext>
      </extLst>
    </bk>
    <bk>
      <extLst>
        <ext uri="{3e2802c4-a4d2-4d8b-9148-e3be6c30e623}">
          <xlrd:rvb i="2531"/>
        </ext>
      </extLst>
    </bk>
    <bk>
      <extLst>
        <ext uri="{3e2802c4-a4d2-4d8b-9148-e3be6c30e623}">
          <xlrd:rvb i="2532"/>
        </ext>
      </extLst>
    </bk>
    <bk>
      <extLst>
        <ext uri="{3e2802c4-a4d2-4d8b-9148-e3be6c30e623}">
          <xlrd:rvb i="2533"/>
        </ext>
      </extLst>
    </bk>
    <bk>
      <extLst>
        <ext uri="{3e2802c4-a4d2-4d8b-9148-e3be6c30e623}">
          <xlrd:rvb i="2534"/>
        </ext>
      </extLst>
    </bk>
    <bk>
      <extLst>
        <ext uri="{3e2802c4-a4d2-4d8b-9148-e3be6c30e623}">
          <xlrd:rvb i="2535"/>
        </ext>
      </extLst>
    </bk>
    <bk>
      <extLst>
        <ext uri="{3e2802c4-a4d2-4d8b-9148-e3be6c30e623}">
          <xlrd:rvb i="2536"/>
        </ext>
      </extLst>
    </bk>
    <bk>
      <extLst>
        <ext uri="{3e2802c4-a4d2-4d8b-9148-e3be6c30e623}">
          <xlrd:rvb i="2537"/>
        </ext>
      </extLst>
    </bk>
    <bk>
      <extLst>
        <ext uri="{3e2802c4-a4d2-4d8b-9148-e3be6c30e623}">
          <xlrd:rvb i="2538"/>
        </ext>
      </extLst>
    </bk>
    <bk>
      <extLst>
        <ext uri="{3e2802c4-a4d2-4d8b-9148-e3be6c30e623}">
          <xlrd:rvb i="2539"/>
        </ext>
      </extLst>
    </bk>
    <bk>
      <extLst>
        <ext uri="{3e2802c4-a4d2-4d8b-9148-e3be6c30e623}">
          <xlrd:rvb i="2540"/>
        </ext>
      </extLst>
    </bk>
    <bk>
      <extLst>
        <ext uri="{3e2802c4-a4d2-4d8b-9148-e3be6c30e623}">
          <xlrd:rvb i="2541"/>
        </ext>
      </extLst>
    </bk>
    <bk>
      <extLst>
        <ext uri="{3e2802c4-a4d2-4d8b-9148-e3be6c30e623}">
          <xlrd:rvb i="2542"/>
        </ext>
      </extLst>
    </bk>
    <bk>
      <extLst>
        <ext uri="{3e2802c4-a4d2-4d8b-9148-e3be6c30e623}">
          <xlrd:rvb i="2543"/>
        </ext>
      </extLst>
    </bk>
    <bk>
      <extLst>
        <ext uri="{3e2802c4-a4d2-4d8b-9148-e3be6c30e623}">
          <xlrd:rvb i="2544"/>
        </ext>
      </extLst>
    </bk>
    <bk>
      <extLst>
        <ext uri="{3e2802c4-a4d2-4d8b-9148-e3be6c30e623}">
          <xlrd:rvb i="2545"/>
        </ext>
      </extLst>
    </bk>
    <bk>
      <extLst>
        <ext uri="{3e2802c4-a4d2-4d8b-9148-e3be6c30e623}">
          <xlrd:rvb i="2546"/>
        </ext>
      </extLst>
    </bk>
    <bk>
      <extLst>
        <ext uri="{3e2802c4-a4d2-4d8b-9148-e3be6c30e623}">
          <xlrd:rvb i="2549"/>
        </ext>
      </extLst>
    </bk>
    <bk>
      <extLst>
        <ext uri="{3e2802c4-a4d2-4d8b-9148-e3be6c30e623}">
          <xlrd:rvb i="2552"/>
        </ext>
      </extLst>
    </bk>
  </futureMetadata>
  <cellMetadata count="1">
    <bk>
      <rc t="1" v="0"/>
    </bk>
  </cellMetadata>
  <valueMetadata count="2534">
    <bk>
      <rc t="2" v="0"/>
    </bk>
    <bk>
      <rc t="2" v="1"/>
    </bk>
    <bk>
      <rc t="2" v="2"/>
    </bk>
    <bk>
      <rc t="2" v="3"/>
    </bk>
    <bk>
      <rc t="2" v="4"/>
    </bk>
    <bk>
      <rc t="2" v="5"/>
    </bk>
    <bk>
      <rc t="2" v="6"/>
    </bk>
    <bk>
      <rc t="2" v="7"/>
    </bk>
    <bk>
      <rc t="2" v="8"/>
    </bk>
    <bk>
      <rc t="2" v="9"/>
    </bk>
    <bk>
      <rc t="2" v="10"/>
    </bk>
    <bk>
      <rc t="2" v="11"/>
    </bk>
    <bk>
      <rc t="2" v="12"/>
    </bk>
    <bk>
      <rc t="2" v="13"/>
    </bk>
    <bk>
      <rc t="2" v="14"/>
    </bk>
    <bk>
      <rc t="2" v="15"/>
    </bk>
    <bk>
      <rc t="2" v="16"/>
    </bk>
    <bk>
      <rc t="2" v="17"/>
    </bk>
    <bk>
      <rc t="2" v="18"/>
    </bk>
    <bk>
      <rc t="2" v="19"/>
    </bk>
    <bk>
      <rc t="2" v="20"/>
    </bk>
    <bk>
      <rc t="2" v="21"/>
    </bk>
    <bk>
      <rc t="2" v="22"/>
    </bk>
    <bk>
      <rc t="2" v="23"/>
    </bk>
    <bk>
      <rc t="2" v="24"/>
    </bk>
    <bk>
      <rc t="2" v="25"/>
    </bk>
    <bk>
      <rc t="2" v="26"/>
    </bk>
    <bk>
      <rc t="2" v="27"/>
    </bk>
    <bk>
      <rc t="2" v="28"/>
    </bk>
    <bk>
      <rc t="2" v="29"/>
    </bk>
    <bk>
      <rc t="2" v="30"/>
    </bk>
    <bk>
      <rc t="2" v="31"/>
    </bk>
    <bk>
      <rc t="2" v="32"/>
    </bk>
    <bk>
      <rc t="2" v="33"/>
    </bk>
    <bk>
      <rc t="2" v="34"/>
    </bk>
    <bk>
      <rc t="2" v="35"/>
    </bk>
    <bk>
      <rc t="2" v="36"/>
    </bk>
    <bk>
      <rc t="2" v="37"/>
    </bk>
    <bk>
      <rc t="2" v="38"/>
    </bk>
    <bk>
      <rc t="2" v="39"/>
    </bk>
    <bk>
      <rc t="2" v="40"/>
    </bk>
    <bk>
      <rc t="2" v="41"/>
    </bk>
    <bk>
      <rc t="2" v="42"/>
    </bk>
    <bk>
      <rc t="2" v="43"/>
    </bk>
    <bk>
      <rc t="2" v="44"/>
    </bk>
    <bk>
      <rc t="2" v="45"/>
    </bk>
    <bk>
      <rc t="2" v="46"/>
    </bk>
    <bk>
      <rc t="2" v="47"/>
    </bk>
    <bk>
      <rc t="2" v="48"/>
    </bk>
    <bk>
      <rc t="2" v="49"/>
    </bk>
    <bk>
      <rc t="2" v="50"/>
    </bk>
    <bk>
      <rc t="2" v="51"/>
    </bk>
    <bk>
      <rc t="2" v="52"/>
    </bk>
    <bk>
      <rc t="2" v="53"/>
    </bk>
    <bk>
      <rc t="2" v="54"/>
    </bk>
    <bk>
      <rc t="2" v="55"/>
    </bk>
    <bk>
      <rc t="2" v="56"/>
    </bk>
    <bk>
      <rc t="2" v="57"/>
    </bk>
    <bk>
      <rc t="2" v="58"/>
    </bk>
    <bk>
      <rc t="2" v="59"/>
    </bk>
    <bk>
      <rc t="2" v="60"/>
    </bk>
    <bk>
      <rc t="2" v="61"/>
    </bk>
    <bk>
      <rc t="2" v="62"/>
    </bk>
    <bk>
      <rc t="2" v="63"/>
    </bk>
    <bk>
      <rc t="2" v="64"/>
    </bk>
    <bk>
      <rc t="2" v="65"/>
    </bk>
    <bk>
      <rc t="2" v="66"/>
    </bk>
    <bk>
      <rc t="2" v="67"/>
    </bk>
    <bk>
      <rc t="2" v="68"/>
    </bk>
    <bk>
      <rc t="2" v="69"/>
    </bk>
    <bk>
      <rc t="2" v="70"/>
    </bk>
    <bk>
      <rc t="2" v="71"/>
    </bk>
    <bk>
      <rc t="2" v="72"/>
    </bk>
    <bk>
      <rc t="2" v="73"/>
    </bk>
    <bk>
      <rc t="2" v="74"/>
    </bk>
    <bk>
      <rc t="2" v="75"/>
    </bk>
    <bk>
      <rc t="2" v="76"/>
    </bk>
    <bk>
      <rc t="2" v="77"/>
    </bk>
    <bk>
      <rc t="2" v="78"/>
    </bk>
    <bk>
      <rc t="2" v="79"/>
    </bk>
    <bk>
      <rc t="2" v="80"/>
    </bk>
    <bk>
      <rc t="2" v="81"/>
    </bk>
    <bk>
      <rc t="2" v="82"/>
    </bk>
    <bk>
      <rc t="2" v="83"/>
    </bk>
    <bk>
      <rc t="2" v="84"/>
    </bk>
    <bk>
      <rc t="2" v="85"/>
    </bk>
    <bk>
      <rc t="2" v="86"/>
    </bk>
    <bk>
      <rc t="2" v="87"/>
    </bk>
    <bk>
      <rc t="2" v="88"/>
    </bk>
    <bk>
      <rc t="2" v="89"/>
    </bk>
    <bk>
      <rc t="2" v="90"/>
    </bk>
    <bk>
      <rc t="2" v="91"/>
    </bk>
    <bk>
      <rc t="2" v="92"/>
    </bk>
    <bk>
      <rc t="2" v="93"/>
    </bk>
    <bk>
      <rc t="2" v="94"/>
    </bk>
    <bk>
      <rc t="2" v="95"/>
    </bk>
    <bk>
      <rc t="2" v="96"/>
    </bk>
    <bk>
      <rc t="2" v="97"/>
    </bk>
    <bk>
      <rc t="2" v="98"/>
    </bk>
    <bk>
      <rc t="2" v="99"/>
    </bk>
    <bk>
      <rc t="2" v="100"/>
    </bk>
    <bk>
      <rc t="2" v="101"/>
    </bk>
    <bk>
      <rc t="2" v="102"/>
    </bk>
    <bk>
      <rc t="2" v="103"/>
    </bk>
    <bk>
      <rc t="2" v="104"/>
    </bk>
    <bk>
      <rc t="2" v="105"/>
    </bk>
    <bk>
      <rc t="2" v="106"/>
    </bk>
    <bk>
      <rc t="2" v="107"/>
    </bk>
    <bk>
      <rc t="2" v="108"/>
    </bk>
    <bk>
      <rc t="2" v="109"/>
    </bk>
    <bk>
      <rc t="2" v="110"/>
    </bk>
    <bk>
      <rc t="2" v="111"/>
    </bk>
    <bk>
      <rc t="2" v="112"/>
    </bk>
    <bk>
      <rc t="2" v="113"/>
    </bk>
    <bk>
      <rc t="2" v="114"/>
    </bk>
    <bk>
      <rc t="2" v="115"/>
    </bk>
    <bk>
      <rc t="2" v="116"/>
    </bk>
    <bk>
      <rc t="2" v="117"/>
    </bk>
    <bk>
      <rc t="2" v="118"/>
    </bk>
    <bk>
      <rc t="2" v="119"/>
    </bk>
    <bk>
      <rc t="2" v="120"/>
    </bk>
    <bk>
      <rc t="2" v="121"/>
    </bk>
    <bk>
      <rc t="2" v="122"/>
    </bk>
    <bk>
      <rc t="2" v="123"/>
    </bk>
    <bk>
      <rc t="2" v="124"/>
    </bk>
    <bk>
      <rc t="2" v="125"/>
    </bk>
    <bk>
      <rc t="2" v="126"/>
    </bk>
    <bk>
      <rc t="2" v="127"/>
    </bk>
    <bk>
      <rc t="2" v="128"/>
    </bk>
    <bk>
      <rc t="2" v="129"/>
    </bk>
    <bk>
      <rc t="2" v="130"/>
    </bk>
    <bk>
      <rc t="2" v="131"/>
    </bk>
    <bk>
      <rc t="2" v="132"/>
    </bk>
    <bk>
      <rc t="2" v="133"/>
    </bk>
    <bk>
      <rc t="2" v="134"/>
    </bk>
    <bk>
      <rc t="2" v="135"/>
    </bk>
    <bk>
      <rc t="2" v="136"/>
    </bk>
    <bk>
      <rc t="2" v="137"/>
    </bk>
    <bk>
      <rc t="2" v="138"/>
    </bk>
    <bk>
      <rc t="2" v="139"/>
    </bk>
    <bk>
      <rc t="2" v="140"/>
    </bk>
    <bk>
      <rc t="2" v="141"/>
    </bk>
    <bk>
      <rc t="2" v="142"/>
    </bk>
    <bk>
      <rc t="2" v="143"/>
    </bk>
    <bk>
      <rc t="2" v="144"/>
    </bk>
    <bk>
      <rc t="2" v="145"/>
    </bk>
    <bk>
      <rc t="2" v="146"/>
    </bk>
    <bk>
      <rc t="2" v="147"/>
    </bk>
    <bk>
      <rc t="2" v="148"/>
    </bk>
    <bk>
      <rc t="2" v="149"/>
    </bk>
    <bk>
      <rc t="2" v="150"/>
    </bk>
    <bk>
      <rc t="2" v="151"/>
    </bk>
    <bk>
      <rc t="2" v="152"/>
    </bk>
    <bk>
      <rc t="2" v="153"/>
    </bk>
    <bk>
      <rc t="2" v="154"/>
    </bk>
    <bk>
      <rc t="2" v="155"/>
    </bk>
    <bk>
      <rc t="2" v="156"/>
    </bk>
    <bk>
      <rc t="2" v="157"/>
    </bk>
    <bk>
      <rc t="2" v="158"/>
    </bk>
    <bk>
      <rc t="2" v="159"/>
    </bk>
    <bk>
      <rc t="2" v="160"/>
    </bk>
    <bk>
      <rc t="2" v="161"/>
    </bk>
    <bk>
      <rc t="2" v="162"/>
    </bk>
    <bk>
      <rc t="2" v="163"/>
    </bk>
    <bk>
      <rc t="2" v="164"/>
    </bk>
    <bk>
      <rc t="2" v="165"/>
    </bk>
    <bk>
      <rc t="2" v="166"/>
    </bk>
    <bk>
      <rc t="2" v="167"/>
    </bk>
    <bk>
      <rc t="2" v="168"/>
    </bk>
    <bk>
      <rc t="2" v="169"/>
    </bk>
    <bk>
      <rc t="2" v="170"/>
    </bk>
    <bk>
      <rc t="2" v="171"/>
    </bk>
    <bk>
      <rc t="2" v="172"/>
    </bk>
    <bk>
      <rc t="2" v="173"/>
    </bk>
    <bk>
      <rc t="2" v="174"/>
    </bk>
    <bk>
      <rc t="2" v="175"/>
    </bk>
    <bk>
      <rc t="2" v="176"/>
    </bk>
    <bk>
      <rc t="2" v="177"/>
    </bk>
    <bk>
      <rc t="2" v="178"/>
    </bk>
    <bk>
      <rc t="2" v="179"/>
    </bk>
    <bk>
      <rc t="2" v="180"/>
    </bk>
    <bk>
      <rc t="2" v="181"/>
    </bk>
    <bk>
      <rc t="2" v="182"/>
    </bk>
    <bk>
      <rc t="2" v="183"/>
    </bk>
    <bk>
      <rc t="2" v="184"/>
    </bk>
    <bk>
      <rc t="2" v="185"/>
    </bk>
    <bk>
      <rc t="2" v="186"/>
    </bk>
    <bk>
      <rc t="2" v="187"/>
    </bk>
    <bk>
      <rc t="2" v="188"/>
    </bk>
    <bk>
      <rc t="2" v="189"/>
    </bk>
    <bk>
      <rc t="2" v="190"/>
    </bk>
    <bk>
      <rc t="2" v="191"/>
    </bk>
    <bk>
      <rc t="2" v="192"/>
    </bk>
    <bk>
      <rc t="2" v="193"/>
    </bk>
    <bk>
      <rc t="2" v="194"/>
    </bk>
    <bk>
      <rc t="2" v="195"/>
    </bk>
    <bk>
      <rc t="2" v="196"/>
    </bk>
    <bk>
      <rc t="2" v="197"/>
    </bk>
    <bk>
      <rc t="2" v="198"/>
    </bk>
    <bk>
      <rc t="2" v="199"/>
    </bk>
    <bk>
      <rc t="2" v="200"/>
    </bk>
    <bk>
      <rc t="2" v="201"/>
    </bk>
    <bk>
      <rc t="2" v="202"/>
    </bk>
    <bk>
      <rc t="2" v="203"/>
    </bk>
    <bk>
      <rc t="2" v="204"/>
    </bk>
    <bk>
      <rc t="2" v="205"/>
    </bk>
    <bk>
      <rc t="2" v="206"/>
    </bk>
    <bk>
      <rc t="2" v="207"/>
    </bk>
    <bk>
      <rc t="2" v="208"/>
    </bk>
    <bk>
      <rc t="2" v="209"/>
    </bk>
    <bk>
      <rc t="2" v="210"/>
    </bk>
    <bk>
      <rc t="2" v="211"/>
    </bk>
    <bk>
      <rc t="2" v="212"/>
    </bk>
    <bk>
      <rc t="2" v="213"/>
    </bk>
    <bk>
      <rc t="2" v="214"/>
    </bk>
    <bk>
      <rc t="2" v="215"/>
    </bk>
    <bk>
      <rc t="2" v="216"/>
    </bk>
    <bk>
      <rc t="2" v="217"/>
    </bk>
    <bk>
      <rc t="2" v="218"/>
    </bk>
    <bk>
      <rc t="2" v="219"/>
    </bk>
    <bk>
      <rc t="2" v="220"/>
    </bk>
    <bk>
      <rc t="2" v="221"/>
    </bk>
    <bk>
      <rc t="2" v="222"/>
    </bk>
    <bk>
      <rc t="2" v="223"/>
    </bk>
    <bk>
      <rc t="2" v="224"/>
    </bk>
    <bk>
      <rc t="2" v="225"/>
    </bk>
    <bk>
      <rc t="2" v="226"/>
    </bk>
    <bk>
      <rc t="2" v="227"/>
    </bk>
    <bk>
      <rc t="2" v="228"/>
    </bk>
    <bk>
      <rc t="2" v="229"/>
    </bk>
    <bk>
      <rc t="2" v="230"/>
    </bk>
    <bk>
      <rc t="2" v="231"/>
    </bk>
    <bk>
      <rc t="2" v="232"/>
    </bk>
    <bk>
      <rc t="2" v="233"/>
    </bk>
    <bk>
      <rc t="2" v="234"/>
    </bk>
    <bk>
      <rc t="2" v="235"/>
    </bk>
    <bk>
      <rc t="2" v="236"/>
    </bk>
    <bk>
      <rc t="2" v="237"/>
    </bk>
    <bk>
      <rc t="2" v="238"/>
    </bk>
    <bk>
      <rc t="2" v="239"/>
    </bk>
    <bk>
      <rc t="2" v="240"/>
    </bk>
    <bk>
      <rc t="2" v="241"/>
    </bk>
    <bk>
      <rc t="2" v="242"/>
    </bk>
    <bk>
      <rc t="2" v="243"/>
    </bk>
    <bk>
      <rc t="2" v="244"/>
    </bk>
    <bk>
      <rc t="2" v="245"/>
    </bk>
    <bk>
      <rc t="2" v="246"/>
    </bk>
    <bk>
      <rc t="2" v="247"/>
    </bk>
    <bk>
      <rc t="2" v="248"/>
    </bk>
    <bk>
      <rc t="2" v="249"/>
    </bk>
    <bk>
      <rc t="2" v="250"/>
    </bk>
    <bk>
      <rc t="2" v="251"/>
    </bk>
    <bk>
      <rc t="2" v="252"/>
    </bk>
    <bk>
      <rc t="2" v="253"/>
    </bk>
    <bk>
      <rc t="2" v="254"/>
    </bk>
    <bk>
      <rc t="2" v="255"/>
    </bk>
    <bk>
      <rc t="2" v="256"/>
    </bk>
    <bk>
      <rc t="2" v="257"/>
    </bk>
    <bk>
      <rc t="2" v="258"/>
    </bk>
    <bk>
      <rc t="2" v="259"/>
    </bk>
    <bk>
      <rc t="2" v="260"/>
    </bk>
    <bk>
      <rc t="2" v="261"/>
    </bk>
    <bk>
      <rc t="2" v="262"/>
    </bk>
    <bk>
      <rc t="2" v="263"/>
    </bk>
    <bk>
      <rc t="2" v="264"/>
    </bk>
    <bk>
      <rc t="2" v="265"/>
    </bk>
    <bk>
      <rc t="2" v="266"/>
    </bk>
    <bk>
      <rc t="2" v="267"/>
    </bk>
    <bk>
      <rc t="2" v="268"/>
    </bk>
    <bk>
      <rc t="2" v="269"/>
    </bk>
    <bk>
      <rc t="2" v="270"/>
    </bk>
    <bk>
      <rc t="2" v="271"/>
    </bk>
    <bk>
      <rc t="2" v="272"/>
    </bk>
    <bk>
      <rc t="2" v="273"/>
    </bk>
    <bk>
      <rc t="2" v="274"/>
    </bk>
    <bk>
      <rc t="2" v="275"/>
    </bk>
    <bk>
      <rc t="2" v="276"/>
    </bk>
    <bk>
      <rc t="2" v="277"/>
    </bk>
    <bk>
      <rc t="2" v="278"/>
    </bk>
    <bk>
      <rc t="2" v="279"/>
    </bk>
    <bk>
      <rc t="2" v="280"/>
    </bk>
    <bk>
      <rc t="2" v="281"/>
    </bk>
    <bk>
      <rc t="2" v="282"/>
    </bk>
    <bk>
      <rc t="2" v="283"/>
    </bk>
    <bk>
      <rc t="2" v="284"/>
    </bk>
    <bk>
      <rc t="2" v="285"/>
    </bk>
    <bk>
      <rc t="2" v="286"/>
    </bk>
    <bk>
      <rc t="2" v="287"/>
    </bk>
    <bk>
      <rc t="2" v="288"/>
    </bk>
    <bk>
      <rc t="2" v="289"/>
    </bk>
    <bk>
      <rc t="2" v="290"/>
    </bk>
    <bk>
      <rc t="2" v="291"/>
    </bk>
    <bk>
      <rc t="2" v="292"/>
    </bk>
    <bk>
      <rc t="2" v="293"/>
    </bk>
    <bk>
      <rc t="2" v="294"/>
    </bk>
    <bk>
      <rc t="2" v="295"/>
    </bk>
    <bk>
      <rc t="2" v="296"/>
    </bk>
    <bk>
      <rc t="2" v="297"/>
    </bk>
    <bk>
      <rc t="2" v="298"/>
    </bk>
    <bk>
      <rc t="2" v="299"/>
    </bk>
    <bk>
      <rc t="2" v="300"/>
    </bk>
    <bk>
      <rc t="2" v="301"/>
    </bk>
    <bk>
      <rc t="2" v="302"/>
    </bk>
    <bk>
      <rc t="2" v="303"/>
    </bk>
    <bk>
      <rc t="2" v="304"/>
    </bk>
    <bk>
      <rc t="2" v="305"/>
    </bk>
    <bk>
      <rc t="2" v="306"/>
    </bk>
    <bk>
      <rc t="2" v="307"/>
    </bk>
    <bk>
      <rc t="2" v="308"/>
    </bk>
    <bk>
      <rc t="2" v="309"/>
    </bk>
    <bk>
      <rc t="2" v="310"/>
    </bk>
    <bk>
      <rc t="2" v="311"/>
    </bk>
    <bk>
      <rc t="2" v="312"/>
    </bk>
    <bk>
      <rc t="2" v="313"/>
    </bk>
    <bk>
      <rc t="2" v="314"/>
    </bk>
    <bk>
      <rc t="2" v="315"/>
    </bk>
    <bk>
      <rc t="2" v="316"/>
    </bk>
    <bk>
      <rc t="2" v="317"/>
    </bk>
    <bk>
      <rc t="2" v="318"/>
    </bk>
    <bk>
      <rc t="2" v="319"/>
    </bk>
    <bk>
      <rc t="2" v="320"/>
    </bk>
    <bk>
      <rc t="2" v="321"/>
    </bk>
    <bk>
      <rc t="2" v="322"/>
    </bk>
    <bk>
      <rc t="2" v="323"/>
    </bk>
    <bk>
      <rc t="2" v="324"/>
    </bk>
    <bk>
      <rc t="2" v="325"/>
    </bk>
    <bk>
      <rc t="2" v="326"/>
    </bk>
    <bk>
      <rc t="2" v="327"/>
    </bk>
    <bk>
      <rc t="2" v="328"/>
    </bk>
    <bk>
      <rc t="2" v="329"/>
    </bk>
    <bk>
      <rc t="2" v="330"/>
    </bk>
    <bk>
      <rc t="2" v="331"/>
    </bk>
    <bk>
      <rc t="2" v="332"/>
    </bk>
    <bk>
      <rc t="2" v="333"/>
    </bk>
    <bk>
      <rc t="2" v="334"/>
    </bk>
    <bk>
      <rc t="2" v="335"/>
    </bk>
    <bk>
      <rc t="2" v="336"/>
    </bk>
    <bk>
      <rc t="2" v="337"/>
    </bk>
    <bk>
      <rc t="2" v="338"/>
    </bk>
    <bk>
      <rc t="2" v="339"/>
    </bk>
    <bk>
      <rc t="2" v="340"/>
    </bk>
    <bk>
      <rc t="2" v="341"/>
    </bk>
    <bk>
      <rc t="2" v="342"/>
    </bk>
    <bk>
      <rc t="2" v="343"/>
    </bk>
    <bk>
      <rc t="2" v="344"/>
    </bk>
    <bk>
      <rc t="2" v="345"/>
    </bk>
    <bk>
      <rc t="2" v="346"/>
    </bk>
    <bk>
      <rc t="2" v="347"/>
    </bk>
    <bk>
      <rc t="2" v="348"/>
    </bk>
    <bk>
      <rc t="2" v="349"/>
    </bk>
    <bk>
      <rc t="2" v="350"/>
    </bk>
    <bk>
      <rc t="2" v="351"/>
    </bk>
    <bk>
      <rc t="2" v="352"/>
    </bk>
    <bk>
      <rc t="2" v="353"/>
    </bk>
    <bk>
      <rc t="2" v="354"/>
    </bk>
    <bk>
      <rc t="2" v="355"/>
    </bk>
    <bk>
      <rc t="2" v="356"/>
    </bk>
    <bk>
      <rc t="2" v="357"/>
    </bk>
    <bk>
      <rc t="2" v="358"/>
    </bk>
    <bk>
      <rc t="2" v="359"/>
    </bk>
    <bk>
      <rc t="2" v="360"/>
    </bk>
    <bk>
      <rc t="2" v="361"/>
    </bk>
    <bk>
      <rc t="2" v="362"/>
    </bk>
    <bk>
      <rc t="2" v="363"/>
    </bk>
    <bk>
      <rc t="2" v="364"/>
    </bk>
    <bk>
      <rc t="2" v="365"/>
    </bk>
    <bk>
      <rc t="2" v="366"/>
    </bk>
    <bk>
      <rc t="2" v="367"/>
    </bk>
    <bk>
      <rc t="2" v="368"/>
    </bk>
    <bk>
      <rc t="2" v="369"/>
    </bk>
    <bk>
      <rc t="2" v="370"/>
    </bk>
    <bk>
      <rc t="2" v="371"/>
    </bk>
    <bk>
      <rc t="2" v="372"/>
    </bk>
    <bk>
      <rc t="2" v="373"/>
    </bk>
    <bk>
      <rc t="2" v="374"/>
    </bk>
    <bk>
      <rc t="2" v="375"/>
    </bk>
    <bk>
      <rc t="2" v="376"/>
    </bk>
    <bk>
      <rc t="2" v="377"/>
    </bk>
    <bk>
      <rc t="2" v="378"/>
    </bk>
    <bk>
      <rc t="2" v="379"/>
    </bk>
    <bk>
      <rc t="2" v="380"/>
    </bk>
    <bk>
      <rc t="2" v="381"/>
    </bk>
    <bk>
      <rc t="2" v="382"/>
    </bk>
    <bk>
      <rc t="2" v="383"/>
    </bk>
    <bk>
      <rc t="2" v="384"/>
    </bk>
    <bk>
      <rc t="2" v="385"/>
    </bk>
    <bk>
      <rc t="2" v="386"/>
    </bk>
    <bk>
      <rc t="2" v="387"/>
    </bk>
    <bk>
      <rc t="2" v="388"/>
    </bk>
    <bk>
      <rc t="2" v="389"/>
    </bk>
    <bk>
      <rc t="2" v="390"/>
    </bk>
    <bk>
      <rc t="2" v="391"/>
    </bk>
    <bk>
      <rc t="2" v="392"/>
    </bk>
    <bk>
      <rc t="2" v="393"/>
    </bk>
    <bk>
      <rc t="2" v="394"/>
    </bk>
    <bk>
      <rc t="2" v="395"/>
    </bk>
    <bk>
      <rc t="2" v="396"/>
    </bk>
    <bk>
      <rc t="2" v="397"/>
    </bk>
    <bk>
      <rc t="2" v="398"/>
    </bk>
    <bk>
      <rc t="2" v="399"/>
    </bk>
    <bk>
      <rc t="2" v="400"/>
    </bk>
    <bk>
      <rc t="2" v="401"/>
    </bk>
    <bk>
      <rc t="2" v="402"/>
    </bk>
    <bk>
      <rc t="2" v="403"/>
    </bk>
    <bk>
      <rc t="2" v="404"/>
    </bk>
    <bk>
      <rc t="2" v="405"/>
    </bk>
    <bk>
      <rc t="2" v="406"/>
    </bk>
    <bk>
      <rc t="2" v="407"/>
    </bk>
    <bk>
      <rc t="2" v="408"/>
    </bk>
    <bk>
      <rc t="2" v="409"/>
    </bk>
    <bk>
      <rc t="2" v="410"/>
    </bk>
    <bk>
      <rc t="2" v="411"/>
    </bk>
    <bk>
      <rc t="2" v="412"/>
    </bk>
    <bk>
      <rc t="2" v="413"/>
    </bk>
    <bk>
      <rc t="2" v="414"/>
    </bk>
    <bk>
      <rc t="2" v="415"/>
    </bk>
    <bk>
      <rc t="2" v="416"/>
    </bk>
    <bk>
      <rc t="2" v="417"/>
    </bk>
    <bk>
      <rc t="2" v="418"/>
    </bk>
    <bk>
      <rc t="2" v="419"/>
    </bk>
    <bk>
      <rc t="2" v="420"/>
    </bk>
    <bk>
      <rc t="2" v="421"/>
    </bk>
    <bk>
      <rc t="2" v="422"/>
    </bk>
    <bk>
      <rc t="2" v="423"/>
    </bk>
    <bk>
      <rc t="2" v="424"/>
    </bk>
    <bk>
      <rc t="2" v="425"/>
    </bk>
    <bk>
      <rc t="2" v="426"/>
    </bk>
    <bk>
      <rc t="2" v="427"/>
    </bk>
    <bk>
      <rc t="2" v="428"/>
    </bk>
    <bk>
      <rc t="2" v="429"/>
    </bk>
    <bk>
      <rc t="2" v="430"/>
    </bk>
    <bk>
      <rc t="2" v="431"/>
    </bk>
    <bk>
      <rc t="2" v="432"/>
    </bk>
    <bk>
      <rc t="2" v="433"/>
    </bk>
    <bk>
      <rc t="2" v="434"/>
    </bk>
    <bk>
      <rc t="2" v="435"/>
    </bk>
    <bk>
      <rc t="2" v="436"/>
    </bk>
    <bk>
      <rc t="2" v="437"/>
    </bk>
    <bk>
      <rc t="2" v="438"/>
    </bk>
    <bk>
      <rc t="2" v="439"/>
    </bk>
    <bk>
      <rc t="2" v="440"/>
    </bk>
    <bk>
      <rc t="2" v="441"/>
    </bk>
    <bk>
      <rc t="2" v="442"/>
    </bk>
    <bk>
      <rc t="2" v="443"/>
    </bk>
    <bk>
      <rc t="2" v="444"/>
    </bk>
    <bk>
      <rc t="2" v="445"/>
    </bk>
    <bk>
      <rc t="2" v="446"/>
    </bk>
    <bk>
      <rc t="2" v="447"/>
    </bk>
    <bk>
      <rc t="2" v="448"/>
    </bk>
    <bk>
      <rc t="2" v="449"/>
    </bk>
    <bk>
      <rc t="2" v="450"/>
    </bk>
    <bk>
      <rc t="2" v="451"/>
    </bk>
    <bk>
      <rc t="2" v="452"/>
    </bk>
    <bk>
      <rc t="2" v="453"/>
    </bk>
    <bk>
      <rc t="2" v="454"/>
    </bk>
    <bk>
      <rc t="2" v="455"/>
    </bk>
    <bk>
      <rc t="2" v="456"/>
    </bk>
    <bk>
      <rc t="2" v="457"/>
    </bk>
    <bk>
      <rc t="2" v="458"/>
    </bk>
    <bk>
      <rc t="2" v="459"/>
    </bk>
    <bk>
      <rc t="2" v="460"/>
    </bk>
    <bk>
      <rc t="2" v="461"/>
    </bk>
    <bk>
      <rc t="2" v="462"/>
    </bk>
    <bk>
      <rc t="2" v="463"/>
    </bk>
    <bk>
      <rc t="2" v="464"/>
    </bk>
    <bk>
      <rc t="2" v="465"/>
    </bk>
    <bk>
      <rc t="2" v="466"/>
    </bk>
    <bk>
      <rc t="2" v="467"/>
    </bk>
    <bk>
      <rc t="2" v="468"/>
    </bk>
    <bk>
      <rc t="2" v="469"/>
    </bk>
    <bk>
      <rc t="2" v="470"/>
    </bk>
    <bk>
      <rc t="2" v="471"/>
    </bk>
    <bk>
      <rc t="2" v="472"/>
    </bk>
    <bk>
      <rc t="2" v="473"/>
    </bk>
    <bk>
      <rc t="2" v="474"/>
    </bk>
    <bk>
      <rc t="2" v="475"/>
    </bk>
    <bk>
      <rc t="2" v="476"/>
    </bk>
    <bk>
      <rc t="2" v="477"/>
    </bk>
    <bk>
      <rc t="2" v="478"/>
    </bk>
    <bk>
      <rc t="2" v="479"/>
    </bk>
    <bk>
      <rc t="2" v="480"/>
    </bk>
    <bk>
      <rc t="2" v="481"/>
    </bk>
    <bk>
      <rc t="2" v="482"/>
    </bk>
    <bk>
      <rc t="2" v="483"/>
    </bk>
    <bk>
      <rc t="2" v="484"/>
    </bk>
    <bk>
      <rc t="2" v="485"/>
    </bk>
    <bk>
      <rc t="2" v="486"/>
    </bk>
    <bk>
      <rc t="2" v="487"/>
    </bk>
    <bk>
      <rc t="2" v="488"/>
    </bk>
    <bk>
      <rc t="2" v="489"/>
    </bk>
    <bk>
      <rc t="2" v="490"/>
    </bk>
    <bk>
      <rc t="2" v="491"/>
    </bk>
    <bk>
      <rc t="2" v="492"/>
    </bk>
    <bk>
      <rc t="2" v="493"/>
    </bk>
    <bk>
      <rc t="2" v="494"/>
    </bk>
    <bk>
      <rc t="2" v="495"/>
    </bk>
    <bk>
      <rc t="2" v="496"/>
    </bk>
    <bk>
      <rc t="2" v="497"/>
    </bk>
    <bk>
      <rc t="2" v="498"/>
    </bk>
    <bk>
      <rc t="2" v="499"/>
    </bk>
    <bk>
      <rc t="2" v="500"/>
    </bk>
    <bk>
      <rc t="2" v="501"/>
    </bk>
    <bk>
      <rc t="2" v="502"/>
    </bk>
    <bk>
      <rc t="2" v="503"/>
    </bk>
    <bk>
      <rc t="2" v="504"/>
    </bk>
    <bk>
      <rc t="2" v="505"/>
    </bk>
    <bk>
      <rc t="2" v="506"/>
    </bk>
    <bk>
      <rc t="2" v="507"/>
    </bk>
    <bk>
      <rc t="2" v="508"/>
    </bk>
    <bk>
      <rc t="2" v="509"/>
    </bk>
    <bk>
      <rc t="2" v="510"/>
    </bk>
    <bk>
      <rc t="2" v="511"/>
    </bk>
    <bk>
      <rc t="2" v="512"/>
    </bk>
    <bk>
      <rc t="2" v="513"/>
    </bk>
    <bk>
      <rc t="2" v="514"/>
    </bk>
    <bk>
      <rc t="2" v="515"/>
    </bk>
    <bk>
      <rc t="2" v="516"/>
    </bk>
    <bk>
      <rc t="2" v="517"/>
    </bk>
    <bk>
      <rc t="2" v="518"/>
    </bk>
    <bk>
      <rc t="2" v="519"/>
    </bk>
    <bk>
      <rc t="2" v="520"/>
    </bk>
    <bk>
      <rc t="2" v="521"/>
    </bk>
    <bk>
      <rc t="2" v="522"/>
    </bk>
    <bk>
      <rc t="2" v="523"/>
    </bk>
    <bk>
      <rc t="2" v="524"/>
    </bk>
    <bk>
      <rc t="2" v="525"/>
    </bk>
    <bk>
      <rc t="2" v="526"/>
    </bk>
    <bk>
      <rc t="2" v="527"/>
    </bk>
    <bk>
      <rc t="2" v="528"/>
    </bk>
    <bk>
      <rc t="2" v="529"/>
    </bk>
    <bk>
      <rc t="2" v="530"/>
    </bk>
    <bk>
      <rc t="2" v="531"/>
    </bk>
    <bk>
      <rc t="2" v="532"/>
    </bk>
    <bk>
      <rc t="2" v="533"/>
    </bk>
    <bk>
      <rc t="2" v="534"/>
    </bk>
    <bk>
      <rc t="2" v="535"/>
    </bk>
    <bk>
      <rc t="2" v="536"/>
    </bk>
    <bk>
      <rc t="2" v="537"/>
    </bk>
    <bk>
      <rc t="2" v="538"/>
    </bk>
    <bk>
      <rc t="2" v="539"/>
    </bk>
    <bk>
      <rc t="2" v="540"/>
    </bk>
    <bk>
      <rc t="2" v="541"/>
    </bk>
    <bk>
      <rc t="2" v="542"/>
    </bk>
    <bk>
      <rc t="2" v="543"/>
    </bk>
    <bk>
      <rc t="2" v="544"/>
    </bk>
    <bk>
      <rc t="2" v="545"/>
    </bk>
    <bk>
      <rc t="2" v="546"/>
    </bk>
    <bk>
      <rc t="2" v="547"/>
    </bk>
    <bk>
      <rc t="2" v="548"/>
    </bk>
    <bk>
      <rc t="2" v="549"/>
    </bk>
    <bk>
      <rc t="2" v="550"/>
    </bk>
    <bk>
      <rc t="2" v="551"/>
    </bk>
    <bk>
      <rc t="2" v="552"/>
    </bk>
    <bk>
      <rc t="2" v="553"/>
    </bk>
    <bk>
      <rc t="2" v="554"/>
    </bk>
    <bk>
      <rc t="2" v="555"/>
    </bk>
    <bk>
      <rc t="2" v="556"/>
    </bk>
    <bk>
      <rc t="2" v="557"/>
    </bk>
    <bk>
      <rc t="2" v="558"/>
    </bk>
    <bk>
      <rc t="2" v="559"/>
    </bk>
    <bk>
      <rc t="2" v="560"/>
    </bk>
    <bk>
      <rc t="2" v="561"/>
    </bk>
    <bk>
      <rc t="2" v="562"/>
    </bk>
    <bk>
      <rc t="2" v="563"/>
    </bk>
    <bk>
      <rc t="2" v="564"/>
    </bk>
    <bk>
      <rc t="2" v="565"/>
    </bk>
    <bk>
      <rc t="2" v="566"/>
    </bk>
    <bk>
      <rc t="2" v="567"/>
    </bk>
    <bk>
      <rc t="2" v="568"/>
    </bk>
    <bk>
      <rc t="2" v="569"/>
    </bk>
    <bk>
      <rc t="2" v="570"/>
    </bk>
    <bk>
      <rc t="2" v="571"/>
    </bk>
    <bk>
      <rc t="2" v="572"/>
    </bk>
    <bk>
      <rc t="2" v="573"/>
    </bk>
    <bk>
      <rc t="2" v="574"/>
    </bk>
    <bk>
      <rc t="2" v="575"/>
    </bk>
    <bk>
      <rc t="2" v="576"/>
    </bk>
    <bk>
      <rc t="2" v="577"/>
    </bk>
    <bk>
      <rc t="2" v="578"/>
    </bk>
    <bk>
      <rc t="2" v="579"/>
    </bk>
    <bk>
      <rc t="2" v="580"/>
    </bk>
    <bk>
      <rc t="2" v="581"/>
    </bk>
    <bk>
      <rc t="2" v="582"/>
    </bk>
    <bk>
      <rc t="2" v="583"/>
    </bk>
    <bk>
      <rc t="2" v="584"/>
    </bk>
    <bk>
      <rc t="2" v="585"/>
    </bk>
    <bk>
      <rc t="2" v="586"/>
    </bk>
    <bk>
      <rc t="2" v="587"/>
    </bk>
    <bk>
      <rc t="2" v="588"/>
    </bk>
    <bk>
      <rc t="2" v="589"/>
    </bk>
    <bk>
      <rc t="2" v="590"/>
    </bk>
    <bk>
      <rc t="2" v="591"/>
    </bk>
    <bk>
      <rc t="2" v="592"/>
    </bk>
    <bk>
      <rc t="2" v="593"/>
    </bk>
    <bk>
      <rc t="2" v="594"/>
    </bk>
    <bk>
      <rc t="2" v="595"/>
    </bk>
    <bk>
      <rc t="2" v="596"/>
    </bk>
    <bk>
      <rc t="2" v="597"/>
    </bk>
    <bk>
      <rc t="2" v="598"/>
    </bk>
    <bk>
      <rc t="2" v="599"/>
    </bk>
    <bk>
      <rc t="2" v="600"/>
    </bk>
    <bk>
      <rc t="2" v="601"/>
    </bk>
    <bk>
      <rc t="2" v="602"/>
    </bk>
    <bk>
      <rc t="2" v="603"/>
    </bk>
    <bk>
      <rc t="2" v="604"/>
    </bk>
    <bk>
      <rc t="2" v="605"/>
    </bk>
    <bk>
      <rc t="2" v="606"/>
    </bk>
    <bk>
      <rc t="2" v="607"/>
    </bk>
    <bk>
      <rc t="2" v="608"/>
    </bk>
    <bk>
      <rc t="2" v="609"/>
    </bk>
    <bk>
      <rc t="2" v="610"/>
    </bk>
    <bk>
      <rc t="2" v="611"/>
    </bk>
    <bk>
      <rc t="2" v="612"/>
    </bk>
    <bk>
      <rc t="2" v="613"/>
    </bk>
    <bk>
      <rc t="2" v="614"/>
    </bk>
    <bk>
      <rc t="2" v="615"/>
    </bk>
    <bk>
      <rc t="2" v="616"/>
    </bk>
    <bk>
      <rc t="2" v="617"/>
    </bk>
    <bk>
      <rc t="2" v="618"/>
    </bk>
    <bk>
      <rc t="2" v="619"/>
    </bk>
    <bk>
      <rc t="2" v="620"/>
    </bk>
    <bk>
      <rc t="2" v="621"/>
    </bk>
    <bk>
      <rc t="2" v="622"/>
    </bk>
    <bk>
      <rc t="2" v="623"/>
    </bk>
    <bk>
      <rc t="2" v="624"/>
    </bk>
    <bk>
      <rc t="2" v="625"/>
    </bk>
    <bk>
      <rc t="2" v="626"/>
    </bk>
    <bk>
      <rc t="2" v="627"/>
    </bk>
    <bk>
      <rc t="2" v="628"/>
    </bk>
    <bk>
      <rc t="2" v="629"/>
    </bk>
    <bk>
      <rc t="2" v="630"/>
    </bk>
    <bk>
      <rc t="2" v="631"/>
    </bk>
    <bk>
      <rc t="2" v="632"/>
    </bk>
    <bk>
      <rc t="2" v="633"/>
    </bk>
    <bk>
      <rc t="2" v="634"/>
    </bk>
    <bk>
      <rc t="2" v="635"/>
    </bk>
    <bk>
      <rc t="2" v="636"/>
    </bk>
    <bk>
      <rc t="2" v="637"/>
    </bk>
    <bk>
      <rc t="2" v="638"/>
    </bk>
    <bk>
      <rc t="2" v="639"/>
    </bk>
    <bk>
      <rc t="2" v="640"/>
    </bk>
    <bk>
      <rc t="2" v="641"/>
    </bk>
    <bk>
      <rc t="2" v="642"/>
    </bk>
    <bk>
      <rc t="2" v="643"/>
    </bk>
    <bk>
      <rc t="2" v="644"/>
    </bk>
    <bk>
      <rc t="2" v="645"/>
    </bk>
    <bk>
      <rc t="2" v="646"/>
    </bk>
    <bk>
      <rc t="2" v="647"/>
    </bk>
    <bk>
      <rc t="2" v="648"/>
    </bk>
    <bk>
      <rc t="2" v="649"/>
    </bk>
    <bk>
      <rc t="2" v="650"/>
    </bk>
    <bk>
      <rc t="2" v="651"/>
    </bk>
    <bk>
      <rc t="2" v="652"/>
    </bk>
    <bk>
      <rc t="2" v="653"/>
    </bk>
    <bk>
      <rc t="2" v="654"/>
    </bk>
    <bk>
      <rc t="2" v="655"/>
    </bk>
    <bk>
      <rc t="2" v="656"/>
    </bk>
    <bk>
      <rc t="2" v="657"/>
    </bk>
    <bk>
      <rc t="2" v="658"/>
    </bk>
    <bk>
      <rc t="2" v="659"/>
    </bk>
    <bk>
      <rc t="2" v="660"/>
    </bk>
    <bk>
      <rc t="2" v="661"/>
    </bk>
    <bk>
      <rc t="2" v="662"/>
    </bk>
    <bk>
      <rc t="2" v="663"/>
    </bk>
    <bk>
      <rc t="2" v="664"/>
    </bk>
    <bk>
      <rc t="2" v="665"/>
    </bk>
    <bk>
      <rc t="2" v="666"/>
    </bk>
    <bk>
      <rc t="2" v="667"/>
    </bk>
    <bk>
      <rc t="2" v="668"/>
    </bk>
    <bk>
      <rc t="2" v="669"/>
    </bk>
    <bk>
      <rc t="2" v="670"/>
    </bk>
    <bk>
      <rc t="2" v="671"/>
    </bk>
    <bk>
      <rc t="2" v="672"/>
    </bk>
    <bk>
      <rc t="2" v="673"/>
    </bk>
    <bk>
      <rc t="2" v="674"/>
    </bk>
    <bk>
      <rc t="2" v="675"/>
    </bk>
    <bk>
      <rc t="2" v="676"/>
    </bk>
    <bk>
      <rc t="2" v="677"/>
    </bk>
    <bk>
      <rc t="2" v="678"/>
    </bk>
    <bk>
      <rc t="2" v="679"/>
    </bk>
    <bk>
      <rc t="2" v="680"/>
    </bk>
    <bk>
      <rc t="2" v="681"/>
    </bk>
    <bk>
      <rc t="2" v="682"/>
    </bk>
    <bk>
      <rc t="2" v="683"/>
    </bk>
    <bk>
      <rc t="2" v="684"/>
    </bk>
    <bk>
      <rc t="2" v="685"/>
    </bk>
    <bk>
      <rc t="2" v="686"/>
    </bk>
    <bk>
      <rc t="2" v="687"/>
    </bk>
    <bk>
      <rc t="2" v="688"/>
    </bk>
    <bk>
      <rc t="2" v="689"/>
    </bk>
    <bk>
      <rc t="2" v="690"/>
    </bk>
    <bk>
      <rc t="2" v="691"/>
    </bk>
    <bk>
      <rc t="2" v="692"/>
    </bk>
    <bk>
      <rc t="2" v="693"/>
    </bk>
    <bk>
      <rc t="2" v="694"/>
    </bk>
    <bk>
      <rc t="2" v="695"/>
    </bk>
    <bk>
      <rc t="2" v="696"/>
    </bk>
    <bk>
      <rc t="2" v="697"/>
    </bk>
    <bk>
      <rc t="2" v="698"/>
    </bk>
    <bk>
      <rc t="2" v="699"/>
    </bk>
    <bk>
      <rc t="2" v="700"/>
    </bk>
    <bk>
      <rc t="2" v="701"/>
    </bk>
    <bk>
      <rc t="2" v="702"/>
    </bk>
    <bk>
      <rc t="2" v="703"/>
    </bk>
    <bk>
      <rc t="2" v="704"/>
    </bk>
    <bk>
      <rc t="2" v="705"/>
    </bk>
    <bk>
      <rc t="2" v="706"/>
    </bk>
    <bk>
      <rc t="2" v="707"/>
    </bk>
    <bk>
      <rc t="2" v="708"/>
    </bk>
    <bk>
      <rc t="2" v="709"/>
    </bk>
    <bk>
      <rc t="2" v="710"/>
    </bk>
    <bk>
      <rc t="2" v="711"/>
    </bk>
    <bk>
      <rc t="2" v="712"/>
    </bk>
    <bk>
      <rc t="2" v="713"/>
    </bk>
    <bk>
      <rc t="2" v="714"/>
    </bk>
    <bk>
      <rc t="2" v="715"/>
    </bk>
    <bk>
      <rc t="2" v="716"/>
    </bk>
    <bk>
      <rc t="2" v="717"/>
    </bk>
    <bk>
      <rc t="2" v="718"/>
    </bk>
    <bk>
      <rc t="2" v="719"/>
    </bk>
    <bk>
      <rc t="2" v="720"/>
    </bk>
    <bk>
      <rc t="2" v="721"/>
    </bk>
    <bk>
      <rc t="2" v="722"/>
    </bk>
    <bk>
      <rc t="2" v="723"/>
    </bk>
    <bk>
      <rc t="2" v="724"/>
    </bk>
    <bk>
      <rc t="2" v="725"/>
    </bk>
    <bk>
      <rc t="2" v="726"/>
    </bk>
    <bk>
      <rc t="2" v="727"/>
    </bk>
    <bk>
      <rc t="2" v="728"/>
    </bk>
    <bk>
      <rc t="2" v="729"/>
    </bk>
    <bk>
      <rc t="2" v="730"/>
    </bk>
    <bk>
      <rc t="2" v="731"/>
    </bk>
    <bk>
      <rc t="2" v="732"/>
    </bk>
    <bk>
      <rc t="2" v="733"/>
    </bk>
    <bk>
      <rc t="2" v="734"/>
    </bk>
    <bk>
      <rc t="2" v="735"/>
    </bk>
    <bk>
      <rc t="2" v="736"/>
    </bk>
    <bk>
      <rc t="2" v="737"/>
    </bk>
    <bk>
      <rc t="2" v="738"/>
    </bk>
    <bk>
      <rc t="2" v="739"/>
    </bk>
    <bk>
      <rc t="2" v="740"/>
    </bk>
    <bk>
      <rc t="2" v="741"/>
    </bk>
    <bk>
      <rc t="2" v="742"/>
    </bk>
    <bk>
      <rc t="2" v="743"/>
    </bk>
    <bk>
      <rc t="2" v="744"/>
    </bk>
    <bk>
      <rc t="2" v="745"/>
    </bk>
    <bk>
      <rc t="2" v="746"/>
    </bk>
    <bk>
      <rc t="2" v="747"/>
    </bk>
    <bk>
      <rc t="2" v="748"/>
    </bk>
    <bk>
      <rc t="2" v="749"/>
    </bk>
    <bk>
      <rc t="2" v="750"/>
    </bk>
    <bk>
      <rc t="2" v="751"/>
    </bk>
    <bk>
      <rc t="2" v="752"/>
    </bk>
    <bk>
      <rc t="2" v="753"/>
    </bk>
    <bk>
      <rc t="2" v="754"/>
    </bk>
    <bk>
      <rc t="2" v="755"/>
    </bk>
    <bk>
      <rc t="2" v="756"/>
    </bk>
    <bk>
      <rc t="2" v="757"/>
    </bk>
    <bk>
      <rc t="2" v="758"/>
    </bk>
    <bk>
      <rc t="2" v="759"/>
    </bk>
    <bk>
      <rc t="2" v="760"/>
    </bk>
    <bk>
      <rc t="2" v="761"/>
    </bk>
    <bk>
      <rc t="2" v="762"/>
    </bk>
    <bk>
      <rc t="2" v="763"/>
    </bk>
    <bk>
      <rc t="2" v="764"/>
    </bk>
    <bk>
      <rc t="2" v="765"/>
    </bk>
    <bk>
      <rc t="2" v="766"/>
    </bk>
    <bk>
      <rc t="2" v="767"/>
    </bk>
    <bk>
      <rc t="2" v="768"/>
    </bk>
    <bk>
      <rc t="2" v="769"/>
    </bk>
    <bk>
      <rc t="2" v="770"/>
    </bk>
    <bk>
      <rc t="2" v="771"/>
    </bk>
    <bk>
      <rc t="2" v="772"/>
    </bk>
    <bk>
      <rc t="2" v="773"/>
    </bk>
    <bk>
      <rc t="2" v="774"/>
    </bk>
    <bk>
      <rc t="2" v="775"/>
    </bk>
    <bk>
      <rc t="2" v="776"/>
    </bk>
    <bk>
      <rc t="2" v="777"/>
    </bk>
    <bk>
      <rc t="2" v="778"/>
    </bk>
    <bk>
      <rc t="2" v="779"/>
    </bk>
    <bk>
      <rc t="2" v="780"/>
    </bk>
    <bk>
      <rc t="2" v="781"/>
    </bk>
    <bk>
      <rc t="2" v="782"/>
    </bk>
    <bk>
      <rc t="2" v="783"/>
    </bk>
    <bk>
      <rc t="2" v="784"/>
    </bk>
    <bk>
      <rc t="2" v="785"/>
    </bk>
    <bk>
      <rc t="2" v="786"/>
    </bk>
    <bk>
      <rc t="2" v="787"/>
    </bk>
    <bk>
      <rc t="2" v="788"/>
    </bk>
    <bk>
      <rc t="2" v="789"/>
    </bk>
    <bk>
      <rc t="2" v="790"/>
    </bk>
    <bk>
      <rc t="2" v="791"/>
    </bk>
    <bk>
      <rc t="2" v="792"/>
    </bk>
    <bk>
      <rc t="2" v="793"/>
    </bk>
    <bk>
      <rc t="2" v="794"/>
    </bk>
    <bk>
      <rc t="2" v="795"/>
    </bk>
    <bk>
      <rc t="2" v="796"/>
    </bk>
    <bk>
      <rc t="2" v="797"/>
    </bk>
    <bk>
      <rc t="2" v="798"/>
    </bk>
    <bk>
      <rc t="2" v="799"/>
    </bk>
    <bk>
      <rc t="2" v="800"/>
    </bk>
    <bk>
      <rc t="2" v="801"/>
    </bk>
    <bk>
      <rc t="2" v="802"/>
    </bk>
    <bk>
      <rc t="2" v="803"/>
    </bk>
    <bk>
      <rc t="2" v="804"/>
    </bk>
    <bk>
      <rc t="2" v="805"/>
    </bk>
    <bk>
      <rc t="2" v="806"/>
    </bk>
    <bk>
      <rc t="2" v="807"/>
    </bk>
    <bk>
      <rc t="2" v="808"/>
    </bk>
    <bk>
      <rc t="2" v="809"/>
    </bk>
    <bk>
      <rc t="2" v="810"/>
    </bk>
    <bk>
      <rc t="2" v="811"/>
    </bk>
    <bk>
      <rc t="2" v="812"/>
    </bk>
    <bk>
      <rc t="2" v="813"/>
    </bk>
    <bk>
      <rc t="2" v="814"/>
    </bk>
    <bk>
      <rc t="2" v="815"/>
    </bk>
    <bk>
      <rc t="2" v="816"/>
    </bk>
    <bk>
      <rc t="2" v="817"/>
    </bk>
    <bk>
      <rc t="2" v="818"/>
    </bk>
    <bk>
      <rc t="2" v="819"/>
    </bk>
    <bk>
      <rc t="2" v="820"/>
    </bk>
    <bk>
      <rc t="2" v="821"/>
    </bk>
    <bk>
      <rc t="2" v="822"/>
    </bk>
    <bk>
      <rc t="2" v="823"/>
    </bk>
    <bk>
      <rc t="2" v="824"/>
    </bk>
    <bk>
      <rc t="2" v="825"/>
    </bk>
    <bk>
      <rc t="2" v="826"/>
    </bk>
    <bk>
      <rc t="2" v="827"/>
    </bk>
    <bk>
      <rc t="2" v="828"/>
    </bk>
    <bk>
      <rc t="2" v="829"/>
    </bk>
    <bk>
      <rc t="2" v="830"/>
    </bk>
    <bk>
      <rc t="2" v="831"/>
    </bk>
    <bk>
      <rc t="2" v="832"/>
    </bk>
    <bk>
      <rc t="2" v="833"/>
    </bk>
    <bk>
      <rc t="2" v="834"/>
    </bk>
    <bk>
      <rc t="2" v="835"/>
    </bk>
    <bk>
      <rc t="2" v="836"/>
    </bk>
    <bk>
      <rc t="2" v="837"/>
    </bk>
    <bk>
      <rc t="2" v="838"/>
    </bk>
    <bk>
      <rc t="2" v="839"/>
    </bk>
    <bk>
      <rc t="2" v="840"/>
    </bk>
    <bk>
      <rc t="2" v="841"/>
    </bk>
    <bk>
      <rc t="2" v="842"/>
    </bk>
    <bk>
      <rc t="2" v="843"/>
    </bk>
    <bk>
      <rc t="2" v="844"/>
    </bk>
    <bk>
      <rc t="2" v="845"/>
    </bk>
    <bk>
      <rc t="2" v="846"/>
    </bk>
    <bk>
      <rc t="2" v="847"/>
    </bk>
    <bk>
      <rc t="2" v="848"/>
    </bk>
    <bk>
      <rc t="2" v="849"/>
    </bk>
    <bk>
      <rc t="2" v="850"/>
    </bk>
    <bk>
      <rc t="2" v="851"/>
    </bk>
    <bk>
      <rc t="2" v="852"/>
    </bk>
    <bk>
      <rc t="2" v="853"/>
    </bk>
    <bk>
      <rc t="2" v="854"/>
    </bk>
    <bk>
      <rc t="2" v="855"/>
    </bk>
    <bk>
      <rc t="2" v="856"/>
    </bk>
    <bk>
      <rc t="2" v="857"/>
    </bk>
    <bk>
      <rc t="2" v="858"/>
    </bk>
    <bk>
      <rc t="2" v="859"/>
    </bk>
    <bk>
      <rc t="2" v="860"/>
    </bk>
    <bk>
      <rc t="2" v="861"/>
    </bk>
    <bk>
      <rc t="2" v="862"/>
    </bk>
    <bk>
      <rc t="2" v="863"/>
    </bk>
    <bk>
      <rc t="2" v="864"/>
    </bk>
    <bk>
      <rc t="2" v="865"/>
    </bk>
    <bk>
      <rc t="2" v="866"/>
    </bk>
    <bk>
      <rc t="2" v="867"/>
    </bk>
    <bk>
      <rc t="2" v="868"/>
    </bk>
    <bk>
      <rc t="2" v="869"/>
    </bk>
    <bk>
      <rc t="2" v="870"/>
    </bk>
    <bk>
      <rc t="2" v="871"/>
    </bk>
    <bk>
      <rc t="2" v="872"/>
    </bk>
    <bk>
      <rc t="2" v="873"/>
    </bk>
    <bk>
      <rc t="2" v="874"/>
    </bk>
    <bk>
      <rc t="2" v="875"/>
    </bk>
    <bk>
      <rc t="2" v="876"/>
    </bk>
    <bk>
      <rc t="2" v="877"/>
    </bk>
    <bk>
      <rc t="2" v="878"/>
    </bk>
    <bk>
      <rc t="2" v="879"/>
    </bk>
    <bk>
      <rc t="2" v="880"/>
    </bk>
    <bk>
      <rc t="2" v="881"/>
    </bk>
    <bk>
      <rc t="2" v="882"/>
    </bk>
    <bk>
      <rc t="2" v="883"/>
    </bk>
    <bk>
      <rc t="2" v="884"/>
    </bk>
    <bk>
      <rc t="2" v="885"/>
    </bk>
    <bk>
      <rc t="2" v="886"/>
    </bk>
    <bk>
      <rc t="2" v="887"/>
    </bk>
    <bk>
      <rc t="2" v="888"/>
    </bk>
    <bk>
      <rc t="2" v="889"/>
    </bk>
    <bk>
      <rc t="2" v="890"/>
    </bk>
    <bk>
      <rc t="2" v="891"/>
    </bk>
    <bk>
      <rc t="2" v="892"/>
    </bk>
    <bk>
      <rc t="2" v="893"/>
    </bk>
    <bk>
      <rc t="2" v="894"/>
    </bk>
    <bk>
      <rc t="2" v="895"/>
    </bk>
    <bk>
      <rc t="2" v="896"/>
    </bk>
    <bk>
      <rc t="2" v="897"/>
    </bk>
    <bk>
      <rc t="2" v="898"/>
    </bk>
    <bk>
      <rc t="2" v="899"/>
    </bk>
    <bk>
      <rc t="2" v="900"/>
    </bk>
    <bk>
      <rc t="2" v="901"/>
    </bk>
    <bk>
      <rc t="2" v="902"/>
    </bk>
    <bk>
      <rc t="2" v="903"/>
    </bk>
    <bk>
      <rc t="2" v="904"/>
    </bk>
    <bk>
      <rc t="2" v="905"/>
    </bk>
    <bk>
      <rc t="2" v="906"/>
    </bk>
    <bk>
      <rc t="2" v="907"/>
    </bk>
    <bk>
      <rc t="2" v="908"/>
    </bk>
    <bk>
      <rc t="2" v="909"/>
    </bk>
    <bk>
      <rc t="2" v="910"/>
    </bk>
    <bk>
      <rc t="2" v="911"/>
    </bk>
    <bk>
      <rc t="2" v="912"/>
    </bk>
    <bk>
      <rc t="2" v="913"/>
    </bk>
    <bk>
      <rc t="2" v="914"/>
    </bk>
    <bk>
      <rc t="2" v="915"/>
    </bk>
    <bk>
      <rc t="2" v="916"/>
    </bk>
    <bk>
      <rc t="2" v="917"/>
    </bk>
    <bk>
      <rc t="2" v="918"/>
    </bk>
    <bk>
      <rc t="2" v="919"/>
    </bk>
    <bk>
      <rc t="2" v="920"/>
    </bk>
    <bk>
      <rc t="2" v="921"/>
    </bk>
    <bk>
      <rc t="2" v="922"/>
    </bk>
    <bk>
      <rc t="2" v="923"/>
    </bk>
    <bk>
      <rc t="2" v="924"/>
    </bk>
    <bk>
      <rc t="2" v="925"/>
    </bk>
    <bk>
      <rc t="2" v="926"/>
    </bk>
    <bk>
      <rc t="2" v="927"/>
    </bk>
    <bk>
      <rc t="2" v="928"/>
    </bk>
    <bk>
      <rc t="2" v="929"/>
    </bk>
    <bk>
      <rc t="2" v="930"/>
    </bk>
    <bk>
      <rc t="2" v="931"/>
    </bk>
    <bk>
      <rc t="2" v="932"/>
    </bk>
    <bk>
      <rc t="2" v="933"/>
    </bk>
    <bk>
      <rc t="2" v="934"/>
    </bk>
    <bk>
      <rc t="2" v="935"/>
    </bk>
    <bk>
      <rc t="2" v="936"/>
    </bk>
    <bk>
      <rc t="2" v="937"/>
    </bk>
    <bk>
      <rc t="2" v="938"/>
    </bk>
    <bk>
      <rc t="2" v="939"/>
    </bk>
    <bk>
      <rc t="2" v="940"/>
    </bk>
    <bk>
      <rc t="2" v="941"/>
    </bk>
    <bk>
      <rc t="2" v="942"/>
    </bk>
    <bk>
      <rc t="2" v="943"/>
    </bk>
    <bk>
      <rc t="2" v="944"/>
    </bk>
    <bk>
      <rc t="2" v="945"/>
    </bk>
    <bk>
      <rc t="2" v="946"/>
    </bk>
    <bk>
      <rc t="2" v="947"/>
    </bk>
    <bk>
      <rc t="2" v="948"/>
    </bk>
    <bk>
      <rc t="2" v="949"/>
    </bk>
    <bk>
      <rc t="2" v="950"/>
    </bk>
    <bk>
      <rc t="2" v="951"/>
    </bk>
    <bk>
      <rc t="2" v="952"/>
    </bk>
    <bk>
      <rc t="2" v="953"/>
    </bk>
    <bk>
      <rc t="2" v="954"/>
    </bk>
    <bk>
      <rc t="2" v="955"/>
    </bk>
    <bk>
      <rc t="2" v="956"/>
    </bk>
    <bk>
      <rc t="2" v="957"/>
    </bk>
    <bk>
      <rc t="2" v="958"/>
    </bk>
    <bk>
      <rc t="2" v="959"/>
    </bk>
    <bk>
      <rc t="2" v="960"/>
    </bk>
    <bk>
      <rc t="2" v="961"/>
    </bk>
    <bk>
      <rc t="2" v="962"/>
    </bk>
    <bk>
      <rc t="2" v="963"/>
    </bk>
    <bk>
      <rc t="2" v="964"/>
    </bk>
    <bk>
      <rc t="2" v="965"/>
    </bk>
    <bk>
      <rc t="2" v="966"/>
    </bk>
    <bk>
      <rc t="2" v="967"/>
    </bk>
    <bk>
      <rc t="2" v="968"/>
    </bk>
    <bk>
      <rc t="2" v="969"/>
    </bk>
    <bk>
      <rc t="2" v="970"/>
    </bk>
    <bk>
      <rc t="2" v="971"/>
    </bk>
    <bk>
      <rc t="2" v="972"/>
    </bk>
    <bk>
      <rc t="2" v="973"/>
    </bk>
    <bk>
      <rc t="2" v="974"/>
    </bk>
    <bk>
      <rc t="2" v="975"/>
    </bk>
    <bk>
      <rc t="2" v="976"/>
    </bk>
    <bk>
      <rc t="2" v="977"/>
    </bk>
    <bk>
      <rc t="2" v="978"/>
    </bk>
    <bk>
      <rc t="2" v="979"/>
    </bk>
    <bk>
      <rc t="2" v="980"/>
    </bk>
    <bk>
      <rc t="2" v="981"/>
    </bk>
    <bk>
      <rc t="2" v="982"/>
    </bk>
    <bk>
      <rc t="2" v="983"/>
    </bk>
    <bk>
      <rc t="2" v="984"/>
    </bk>
    <bk>
      <rc t="2" v="985"/>
    </bk>
    <bk>
      <rc t="2" v="986"/>
    </bk>
    <bk>
      <rc t="2" v="987"/>
    </bk>
    <bk>
      <rc t="2" v="988"/>
    </bk>
    <bk>
      <rc t="2" v="989"/>
    </bk>
    <bk>
      <rc t="2" v="990"/>
    </bk>
    <bk>
      <rc t="2" v="991"/>
    </bk>
    <bk>
      <rc t="2" v="992"/>
    </bk>
    <bk>
      <rc t="2" v="993"/>
    </bk>
    <bk>
      <rc t="2" v="994"/>
    </bk>
    <bk>
      <rc t="2" v="995"/>
    </bk>
    <bk>
      <rc t="2" v="996"/>
    </bk>
    <bk>
      <rc t="2" v="997"/>
    </bk>
    <bk>
      <rc t="2" v="998"/>
    </bk>
    <bk>
      <rc t="2" v="999"/>
    </bk>
    <bk>
      <rc t="2" v="1000"/>
    </bk>
    <bk>
      <rc t="2" v="1001"/>
    </bk>
    <bk>
      <rc t="2" v="1002"/>
    </bk>
    <bk>
      <rc t="2" v="1003"/>
    </bk>
    <bk>
      <rc t="2" v="1004"/>
    </bk>
    <bk>
      <rc t="2" v="1005"/>
    </bk>
    <bk>
      <rc t="2" v="1006"/>
    </bk>
    <bk>
      <rc t="2" v="1007"/>
    </bk>
    <bk>
      <rc t="2" v="1008"/>
    </bk>
    <bk>
      <rc t="2" v="1009"/>
    </bk>
    <bk>
      <rc t="2" v="1010"/>
    </bk>
    <bk>
      <rc t="2" v="1011"/>
    </bk>
    <bk>
      <rc t="2" v="1012"/>
    </bk>
    <bk>
      <rc t="2" v="1013"/>
    </bk>
    <bk>
      <rc t="2" v="1014"/>
    </bk>
    <bk>
      <rc t="2" v="1015"/>
    </bk>
    <bk>
      <rc t="2" v="1016"/>
    </bk>
    <bk>
      <rc t="2" v="1017"/>
    </bk>
    <bk>
      <rc t="2" v="1018"/>
    </bk>
    <bk>
      <rc t="2" v="1019"/>
    </bk>
    <bk>
      <rc t="2" v="1020"/>
    </bk>
    <bk>
      <rc t="2" v="1021"/>
    </bk>
    <bk>
      <rc t="2" v="1022"/>
    </bk>
    <bk>
      <rc t="2" v="1023"/>
    </bk>
    <bk>
      <rc t="2" v="1024"/>
    </bk>
    <bk>
      <rc t="2" v="1025"/>
    </bk>
    <bk>
      <rc t="2" v="1026"/>
    </bk>
    <bk>
      <rc t="2" v="1027"/>
    </bk>
    <bk>
      <rc t="2" v="1028"/>
    </bk>
    <bk>
      <rc t="2" v="1029"/>
    </bk>
    <bk>
      <rc t="2" v="1030"/>
    </bk>
    <bk>
      <rc t="2" v="1031"/>
    </bk>
    <bk>
      <rc t="2" v="1032"/>
    </bk>
    <bk>
      <rc t="2" v="1033"/>
    </bk>
    <bk>
      <rc t="2" v="1034"/>
    </bk>
    <bk>
      <rc t="2" v="1035"/>
    </bk>
    <bk>
      <rc t="2" v="1036"/>
    </bk>
    <bk>
      <rc t="2" v="1037"/>
    </bk>
    <bk>
      <rc t="2" v="1038"/>
    </bk>
    <bk>
      <rc t="2" v="1039"/>
    </bk>
    <bk>
      <rc t="2" v="1040"/>
    </bk>
    <bk>
      <rc t="2" v="1041"/>
    </bk>
    <bk>
      <rc t="2" v="1042"/>
    </bk>
    <bk>
      <rc t="2" v="1043"/>
    </bk>
    <bk>
      <rc t="2" v="1044"/>
    </bk>
    <bk>
      <rc t="2" v="1045"/>
    </bk>
    <bk>
      <rc t="2" v="1046"/>
    </bk>
    <bk>
      <rc t="2" v="1047"/>
    </bk>
    <bk>
      <rc t="2" v="1048"/>
    </bk>
    <bk>
      <rc t="2" v="1049"/>
    </bk>
    <bk>
      <rc t="2" v="1050"/>
    </bk>
    <bk>
      <rc t="2" v="1051"/>
    </bk>
    <bk>
      <rc t="2" v="1052"/>
    </bk>
    <bk>
      <rc t="2" v="1053"/>
    </bk>
    <bk>
      <rc t="2" v="1054"/>
    </bk>
    <bk>
      <rc t="2" v="1055"/>
    </bk>
    <bk>
      <rc t="2" v="1056"/>
    </bk>
    <bk>
      <rc t="2" v="1057"/>
    </bk>
    <bk>
      <rc t="2" v="1058"/>
    </bk>
    <bk>
      <rc t="2" v="1059"/>
    </bk>
    <bk>
      <rc t="2" v="1060"/>
    </bk>
    <bk>
      <rc t="2" v="1061"/>
    </bk>
    <bk>
      <rc t="2" v="1062"/>
    </bk>
    <bk>
      <rc t="2" v="1063"/>
    </bk>
    <bk>
      <rc t="2" v="1064"/>
    </bk>
    <bk>
      <rc t="2" v="1065"/>
    </bk>
    <bk>
      <rc t="2" v="1066"/>
    </bk>
    <bk>
      <rc t="2" v="1067"/>
    </bk>
    <bk>
      <rc t="2" v="1068"/>
    </bk>
    <bk>
      <rc t="2" v="1069"/>
    </bk>
    <bk>
      <rc t="2" v="1070"/>
    </bk>
    <bk>
      <rc t="2" v="1071"/>
    </bk>
    <bk>
      <rc t="2" v="1072"/>
    </bk>
    <bk>
      <rc t="2" v="1073"/>
    </bk>
    <bk>
      <rc t="2" v="1074"/>
    </bk>
    <bk>
      <rc t="2" v="1075"/>
    </bk>
    <bk>
      <rc t="2" v="1076"/>
    </bk>
    <bk>
      <rc t="2" v="1077"/>
    </bk>
    <bk>
      <rc t="2" v="1078"/>
    </bk>
    <bk>
      <rc t="2" v="1079"/>
    </bk>
    <bk>
      <rc t="2" v="1080"/>
    </bk>
    <bk>
      <rc t="2" v="1081"/>
    </bk>
    <bk>
      <rc t="2" v="1082"/>
    </bk>
    <bk>
      <rc t="2" v="1083"/>
    </bk>
    <bk>
      <rc t="2" v="1084"/>
    </bk>
    <bk>
      <rc t="2" v="1085"/>
    </bk>
    <bk>
      <rc t="2" v="1086"/>
    </bk>
    <bk>
      <rc t="2" v="1087"/>
    </bk>
    <bk>
      <rc t="2" v="1088"/>
    </bk>
    <bk>
      <rc t="2" v="1089"/>
    </bk>
    <bk>
      <rc t="2" v="1090"/>
    </bk>
    <bk>
      <rc t="2" v="1091"/>
    </bk>
    <bk>
      <rc t="2" v="1092"/>
    </bk>
    <bk>
      <rc t="2" v="1093"/>
    </bk>
    <bk>
      <rc t="2" v="1094"/>
    </bk>
    <bk>
      <rc t="2" v="1095"/>
    </bk>
    <bk>
      <rc t="2" v="1096"/>
    </bk>
    <bk>
      <rc t="2" v="1097"/>
    </bk>
    <bk>
      <rc t="2" v="1098"/>
    </bk>
    <bk>
      <rc t="2" v="1099"/>
    </bk>
    <bk>
      <rc t="2" v="1100"/>
    </bk>
    <bk>
      <rc t="2" v="1101"/>
    </bk>
    <bk>
      <rc t="2" v="1102"/>
    </bk>
    <bk>
      <rc t="2" v="1103"/>
    </bk>
    <bk>
      <rc t="2" v="1104"/>
    </bk>
    <bk>
      <rc t="2" v="1105"/>
    </bk>
    <bk>
      <rc t="2" v="1106"/>
    </bk>
    <bk>
      <rc t="2" v="1107"/>
    </bk>
    <bk>
      <rc t="2" v="1108"/>
    </bk>
    <bk>
      <rc t="2" v="1109"/>
    </bk>
    <bk>
      <rc t="2" v="1110"/>
    </bk>
    <bk>
      <rc t="2" v="1111"/>
    </bk>
    <bk>
      <rc t="2" v="1112"/>
    </bk>
    <bk>
      <rc t="2" v="1113"/>
    </bk>
    <bk>
      <rc t="2" v="1114"/>
    </bk>
    <bk>
      <rc t="2" v="1115"/>
    </bk>
    <bk>
      <rc t="2" v="1116"/>
    </bk>
    <bk>
      <rc t="2" v="1117"/>
    </bk>
    <bk>
      <rc t="2" v="1118"/>
    </bk>
    <bk>
      <rc t="2" v="1119"/>
    </bk>
    <bk>
      <rc t="2" v="1120"/>
    </bk>
    <bk>
      <rc t="2" v="1121"/>
    </bk>
    <bk>
      <rc t="2" v="1122"/>
    </bk>
    <bk>
      <rc t="2" v="1123"/>
    </bk>
    <bk>
      <rc t="2" v="1124"/>
    </bk>
    <bk>
      <rc t="2" v="1125"/>
    </bk>
    <bk>
      <rc t="2" v="1126"/>
    </bk>
    <bk>
      <rc t="2" v="1127"/>
    </bk>
    <bk>
      <rc t="2" v="1128"/>
    </bk>
    <bk>
      <rc t="2" v="1129"/>
    </bk>
    <bk>
      <rc t="2" v="1130"/>
    </bk>
    <bk>
      <rc t="2" v="1131"/>
    </bk>
    <bk>
      <rc t="2" v="1132"/>
    </bk>
    <bk>
      <rc t="2" v="1133"/>
    </bk>
    <bk>
      <rc t="2" v="1134"/>
    </bk>
    <bk>
      <rc t="2" v="1135"/>
    </bk>
    <bk>
      <rc t="2" v="1136"/>
    </bk>
    <bk>
      <rc t="2" v="1137"/>
    </bk>
    <bk>
      <rc t="2" v="1138"/>
    </bk>
    <bk>
      <rc t="2" v="1139"/>
    </bk>
    <bk>
      <rc t="2" v="1140"/>
    </bk>
    <bk>
      <rc t="2" v="1141"/>
    </bk>
    <bk>
      <rc t="2" v="1142"/>
    </bk>
    <bk>
      <rc t="2" v="1143"/>
    </bk>
    <bk>
      <rc t="2" v="1144"/>
    </bk>
    <bk>
      <rc t="2" v="1145"/>
    </bk>
    <bk>
      <rc t="2" v="1146"/>
    </bk>
    <bk>
      <rc t="2" v="1147"/>
    </bk>
    <bk>
      <rc t="2" v="1148"/>
    </bk>
    <bk>
      <rc t="2" v="1149"/>
    </bk>
    <bk>
      <rc t="2" v="1150"/>
    </bk>
    <bk>
      <rc t="2" v="1151"/>
    </bk>
    <bk>
      <rc t="2" v="1152"/>
    </bk>
    <bk>
      <rc t="2" v="1153"/>
    </bk>
    <bk>
      <rc t="2" v="1154"/>
    </bk>
    <bk>
      <rc t="2" v="1155"/>
    </bk>
    <bk>
      <rc t="2" v="1156"/>
    </bk>
    <bk>
      <rc t="2" v="1157"/>
    </bk>
    <bk>
      <rc t="2" v="1158"/>
    </bk>
    <bk>
      <rc t="2" v="1159"/>
    </bk>
    <bk>
      <rc t="2" v="1160"/>
    </bk>
    <bk>
      <rc t="2" v="1161"/>
    </bk>
    <bk>
      <rc t="2" v="1162"/>
    </bk>
    <bk>
      <rc t="2" v="1163"/>
    </bk>
    <bk>
      <rc t="2" v="1164"/>
    </bk>
    <bk>
      <rc t="2" v="1165"/>
    </bk>
    <bk>
      <rc t="2" v="1166"/>
    </bk>
    <bk>
      <rc t="2" v="1167"/>
    </bk>
    <bk>
      <rc t="2" v="1168"/>
    </bk>
    <bk>
      <rc t="2" v="1169"/>
    </bk>
    <bk>
      <rc t="2" v="1170"/>
    </bk>
    <bk>
      <rc t="2" v="1171"/>
    </bk>
    <bk>
      <rc t="2" v="1172"/>
    </bk>
    <bk>
      <rc t="2" v="1173"/>
    </bk>
    <bk>
      <rc t="2" v="1174"/>
    </bk>
    <bk>
      <rc t="2" v="1175"/>
    </bk>
    <bk>
      <rc t="2" v="1176"/>
    </bk>
    <bk>
      <rc t="2" v="1177"/>
    </bk>
    <bk>
      <rc t="2" v="1178"/>
    </bk>
    <bk>
      <rc t="2" v="1179"/>
    </bk>
    <bk>
      <rc t="2" v="1180"/>
    </bk>
    <bk>
      <rc t="2" v="1181"/>
    </bk>
    <bk>
      <rc t="2" v="1182"/>
    </bk>
    <bk>
      <rc t="2" v="1183"/>
    </bk>
    <bk>
      <rc t="2" v="1184"/>
    </bk>
    <bk>
      <rc t="2" v="1185"/>
    </bk>
    <bk>
      <rc t="2" v="1186"/>
    </bk>
    <bk>
      <rc t="2" v="1187"/>
    </bk>
    <bk>
      <rc t="2" v="1188"/>
    </bk>
    <bk>
      <rc t="2" v="1189"/>
    </bk>
    <bk>
      <rc t="2" v="1190"/>
    </bk>
    <bk>
      <rc t="2" v="1191"/>
    </bk>
    <bk>
      <rc t="2" v="1192"/>
    </bk>
    <bk>
      <rc t="2" v="1193"/>
    </bk>
    <bk>
      <rc t="2" v="1194"/>
    </bk>
    <bk>
      <rc t="2" v="1195"/>
    </bk>
    <bk>
      <rc t="2" v="1196"/>
    </bk>
    <bk>
      <rc t="2" v="1197"/>
    </bk>
    <bk>
      <rc t="2" v="1198"/>
    </bk>
    <bk>
      <rc t="2" v="1199"/>
    </bk>
    <bk>
      <rc t="2" v="1200"/>
    </bk>
    <bk>
      <rc t="2" v="1201"/>
    </bk>
    <bk>
      <rc t="2" v="1202"/>
    </bk>
    <bk>
      <rc t="2" v="1203"/>
    </bk>
    <bk>
      <rc t="2" v="1204"/>
    </bk>
    <bk>
      <rc t="2" v="1205"/>
    </bk>
    <bk>
      <rc t="2" v="1206"/>
    </bk>
    <bk>
      <rc t="2" v="1207"/>
    </bk>
    <bk>
      <rc t="2" v="1208"/>
    </bk>
    <bk>
      <rc t="2" v="1209"/>
    </bk>
    <bk>
      <rc t="2" v="1210"/>
    </bk>
    <bk>
      <rc t="2" v="1211"/>
    </bk>
    <bk>
      <rc t="2" v="1212"/>
    </bk>
    <bk>
      <rc t="2" v="1213"/>
    </bk>
    <bk>
      <rc t="2" v="1214"/>
    </bk>
    <bk>
      <rc t="2" v="1215"/>
    </bk>
    <bk>
      <rc t="2" v="1216"/>
    </bk>
    <bk>
      <rc t="2" v="1217"/>
    </bk>
    <bk>
      <rc t="2" v="1218"/>
    </bk>
    <bk>
      <rc t="2" v="1219"/>
    </bk>
    <bk>
      <rc t="2" v="1220"/>
    </bk>
    <bk>
      <rc t="2" v="1221"/>
    </bk>
    <bk>
      <rc t="2" v="1222"/>
    </bk>
    <bk>
      <rc t="2" v="1223"/>
    </bk>
    <bk>
      <rc t="2" v="1224"/>
    </bk>
    <bk>
      <rc t="2" v="1225"/>
    </bk>
    <bk>
      <rc t="2" v="1226"/>
    </bk>
    <bk>
      <rc t="2" v="1227"/>
    </bk>
    <bk>
      <rc t="2" v="1228"/>
    </bk>
    <bk>
      <rc t="2" v="1229"/>
    </bk>
    <bk>
      <rc t="2" v="1230"/>
    </bk>
    <bk>
      <rc t="2" v="1231"/>
    </bk>
    <bk>
      <rc t="2" v="1232"/>
    </bk>
    <bk>
      <rc t="2" v="1233"/>
    </bk>
    <bk>
      <rc t="2" v="1234"/>
    </bk>
    <bk>
      <rc t="2" v="1235"/>
    </bk>
    <bk>
      <rc t="2" v="1236"/>
    </bk>
    <bk>
      <rc t="2" v="1237"/>
    </bk>
    <bk>
      <rc t="2" v="1238"/>
    </bk>
    <bk>
      <rc t="2" v="1239"/>
    </bk>
    <bk>
      <rc t="2" v="1240"/>
    </bk>
    <bk>
      <rc t="2" v="1241"/>
    </bk>
    <bk>
      <rc t="2" v="1242"/>
    </bk>
    <bk>
      <rc t="2" v="1243"/>
    </bk>
    <bk>
      <rc t="2" v="1244"/>
    </bk>
    <bk>
      <rc t="2" v="1245"/>
    </bk>
    <bk>
      <rc t="2" v="1246"/>
    </bk>
    <bk>
      <rc t="2" v="1247"/>
    </bk>
    <bk>
      <rc t="2" v="1248"/>
    </bk>
    <bk>
      <rc t="2" v="1249"/>
    </bk>
    <bk>
      <rc t="2" v="1250"/>
    </bk>
    <bk>
      <rc t="2" v="1251"/>
    </bk>
    <bk>
      <rc t="2" v="1252"/>
    </bk>
    <bk>
      <rc t="2" v="1253"/>
    </bk>
    <bk>
      <rc t="2" v="1254"/>
    </bk>
    <bk>
      <rc t="2" v="1255"/>
    </bk>
    <bk>
      <rc t="2" v="1256"/>
    </bk>
    <bk>
      <rc t="2" v="1257"/>
    </bk>
    <bk>
      <rc t="2" v="1258"/>
    </bk>
    <bk>
      <rc t="2" v="1259"/>
    </bk>
    <bk>
      <rc t="2" v="1260"/>
    </bk>
    <bk>
      <rc t="2" v="1261"/>
    </bk>
    <bk>
      <rc t="2" v="1262"/>
    </bk>
    <bk>
      <rc t="2" v="1263"/>
    </bk>
    <bk>
      <rc t="2" v="1264"/>
    </bk>
    <bk>
      <rc t="2" v="1265"/>
    </bk>
    <bk>
      <rc t="2" v="1266"/>
    </bk>
    <bk>
      <rc t="2" v="1267"/>
    </bk>
    <bk>
      <rc t="2" v="1268"/>
    </bk>
    <bk>
      <rc t="2" v="1269"/>
    </bk>
    <bk>
      <rc t="2" v="1270"/>
    </bk>
    <bk>
      <rc t="2" v="1271"/>
    </bk>
    <bk>
      <rc t="2" v="1272"/>
    </bk>
    <bk>
      <rc t="2" v="1273"/>
    </bk>
    <bk>
      <rc t="2" v="1274"/>
    </bk>
    <bk>
      <rc t="2" v="1275"/>
    </bk>
    <bk>
      <rc t="2" v="1276"/>
    </bk>
    <bk>
      <rc t="2" v="1277"/>
    </bk>
    <bk>
      <rc t="2" v="1278"/>
    </bk>
    <bk>
      <rc t="2" v="1279"/>
    </bk>
    <bk>
      <rc t="2" v="1280"/>
    </bk>
    <bk>
      <rc t="2" v="1281"/>
    </bk>
    <bk>
      <rc t="2" v="1282"/>
    </bk>
    <bk>
      <rc t="2" v="1283"/>
    </bk>
    <bk>
      <rc t="2" v="1284"/>
    </bk>
    <bk>
      <rc t="2" v="1285"/>
    </bk>
    <bk>
      <rc t="2" v="1286"/>
    </bk>
    <bk>
      <rc t="2" v="1287"/>
    </bk>
    <bk>
      <rc t="2" v="1288"/>
    </bk>
    <bk>
      <rc t="2" v="1289"/>
    </bk>
    <bk>
      <rc t="2" v="1290"/>
    </bk>
    <bk>
      <rc t="2" v="1291"/>
    </bk>
    <bk>
      <rc t="2" v="1292"/>
    </bk>
    <bk>
      <rc t="2" v="1293"/>
    </bk>
    <bk>
      <rc t="2" v="1294"/>
    </bk>
    <bk>
      <rc t="2" v="1295"/>
    </bk>
    <bk>
      <rc t="2" v="1296"/>
    </bk>
    <bk>
      <rc t="2" v="1297"/>
    </bk>
    <bk>
      <rc t="2" v="1298"/>
    </bk>
    <bk>
      <rc t="2" v="1299"/>
    </bk>
    <bk>
      <rc t="2" v="1300"/>
    </bk>
    <bk>
      <rc t="2" v="1301"/>
    </bk>
    <bk>
      <rc t="2" v="1302"/>
    </bk>
    <bk>
      <rc t="2" v="1303"/>
    </bk>
    <bk>
      <rc t="2" v="1304"/>
    </bk>
    <bk>
      <rc t="2" v="1305"/>
    </bk>
    <bk>
      <rc t="2" v="1306"/>
    </bk>
    <bk>
      <rc t="2" v="1307"/>
    </bk>
    <bk>
      <rc t="2" v="1308"/>
    </bk>
    <bk>
      <rc t="2" v="1309"/>
    </bk>
    <bk>
      <rc t="2" v="1310"/>
    </bk>
    <bk>
      <rc t="2" v="1311"/>
    </bk>
    <bk>
      <rc t="2" v="1312"/>
    </bk>
    <bk>
      <rc t="2" v="1313"/>
    </bk>
    <bk>
      <rc t="2" v="1314"/>
    </bk>
    <bk>
      <rc t="2" v="1315"/>
    </bk>
    <bk>
      <rc t="2" v="1316"/>
    </bk>
    <bk>
      <rc t="2" v="1317"/>
    </bk>
    <bk>
      <rc t="2" v="1318"/>
    </bk>
    <bk>
      <rc t="2" v="1319"/>
    </bk>
    <bk>
      <rc t="2" v="1320"/>
    </bk>
    <bk>
      <rc t="2" v="1321"/>
    </bk>
    <bk>
      <rc t="2" v="1322"/>
    </bk>
    <bk>
      <rc t="2" v="1323"/>
    </bk>
    <bk>
      <rc t="2" v="1324"/>
    </bk>
    <bk>
      <rc t="2" v="1325"/>
    </bk>
    <bk>
      <rc t="2" v="1326"/>
    </bk>
    <bk>
      <rc t="2" v="1327"/>
    </bk>
    <bk>
      <rc t="2" v="1328"/>
    </bk>
    <bk>
      <rc t="2" v="1329"/>
    </bk>
    <bk>
      <rc t="2" v="1330"/>
    </bk>
    <bk>
      <rc t="2" v="1331"/>
    </bk>
    <bk>
      <rc t="2" v="1332"/>
    </bk>
    <bk>
      <rc t="2" v="1333"/>
    </bk>
    <bk>
      <rc t="2" v="1334"/>
    </bk>
    <bk>
      <rc t="2" v="1335"/>
    </bk>
    <bk>
      <rc t="2" v="1336"/>
    </bk>
    <bk>
      <rc t="2" v="1337"/>
    </bk>
    <bk>
      <rc t="2" v="1338"/>
    </bk>
    <bk>
      <rc t="2" v="1339"/>
    </bk>
    <bk>
      <rc t="2" v="1340"/>
    </bk>
    <bk>
      <rc t="2" v="1341"/>
    </bk>
    <bk>
      <rc t="2" v="1342"/>
    </bk>
    <bk>
      <rc t="2" v="1343"/>
    </bk>
    <bk>
      <rc t="2" v="1344"/>
    </bk>
    <bk>
      <rc t="2" v="1345"/>
    </bk>
    <bk>
      <rc t="2" v="1346"/>
    </bk>
    <bk>
      <rc t="2" v="1347"/>
    </bk>
    <bk>
      <rc t="2" v="1348"/>
    </bk>
    <bk>
      <rc t="2" v="1349"/>
    </bk>
    <bk>
      <rc t="2" v="1350"/>
    </bk>
    <bk>
      <rc t="2" v="1351"/>
    </bk>
    <bk>
      <rc t="2" v="1352"/>
    </bk>
    <bk>
      <rc t="2" v="1353"/>
    </bk>
    <bk>
      <rc t="2" v="1354"/>
    </bk>
    <bk>
      <rc t="2" v="1355"/>
    </bk>
    <bk>
      <rc t="2" v="1356"/>
    </bk>
    <bk>
      <rc t="2" v="1357"/>
    </bk>
    <bk>
      <rc t="2" v="1358"/>
    </bk>
    <bk>
      <rc t="2" v="1359"/>
    </bk>
    <bk>
      <rc t="2" v="1360"/>
    </bk>
    <bk>
      <rc t="2" v="1361"/>
    </bk>
    <bk>
      <rc t="2" v="1362"/>
    </bk>
    <bk>
      <rc t="2" v="1363"/>
    </bk>
    <bk>
      <rc t="2" v="1364"/>
    </bk>
    <bk>
      <rc t="2" v="1365"/>
    </bk>
    <bk>
      <rc t="2" v="1366"/>
    </bk>
    <bk>
      <rc t="2" v="1367"/>
    </bk>
    <bk>
      <rc t="2" v="1368"/>
    </bk>
    <bk>
      <rc t="2" v="1369"/>
    </bk>
    <bk>
      <rc t="2" v="1370"/>
    </bk>
    <bk>
      <rc t="2" v="1371"/>
    </bk>
    <bk>
      <rc t="2" v="1372"/>
    </bk>
    <bk>
      <rc t="2" v="1373"/>
    </bk>
    <bk>
      <rc t="2" v="1374"/>
    </bk>
    <bk>
      <rc t="2" v="1375"/>
    </bk>
    <bk>
      <rc t="2" v="1376"/>
    </bk>
    <bk>
      <rc t="2" v="1377"/>
    </bk>
    <bk>
      <rc t="2" v="1378"/>
    </bk>
    <bk>
      <rc t="2" v="1379"/>
    </bk>
    <bk>
      <rc t="2" v="1380"/>
    </bk>
    <bk>
      <rc t="2" v="1381"/>
    </bk>
    <bk>
      <rc t="2" v="1382"/>
    </bk>
    <bk>
      <rc t="2" v="1383"/>
    </bk>
    <bk>
      <rc t="2" v="1384"/>
    </bk>
    <bk>
      <rc t="2" v="1385"/>
    </bk>
    <bk>
      <rc t="2" v="1386"/>
    </bk>
    <bk>
      <rc t="2" v="1387"/>
    </bk>
    <bk>
      <rc t="2" v="1388"/>
    </bk>
    <bk>
      <rc t="2" v="1389"/>
    </bk>
    <bk>
      <rc t="2" v="1390"/>
    </bk>
    <bk>
      <rc t="2" v="1391"/>
    </bk>
    <bk>
      <rc t="2" v="1392"/>
    </bk>
    <bk>
      <rc t="2" v="1393"/>
    </bk>
    <bk>
      <rc t="2" v="1394"/>
    </bk>
    <bk>
      <rc t="2" v="1395"/>
    </bk>
    <bk>
      <rc t="2" v="1396"/>
    </bk>
    <bk>
      <rc t="2" v="1397"/>
    </bk>
    <bk>
      <rc t="2" v="1398"/>
    </bk>
    <bk>
      <rc t="2" v="1399"/>
    </bk>
    <bk>
      <rc t="2" v="1400"/>
    </bk>
    <bk>
      <rc t="2" v="1401"/>
    </bk>
    <bk>
      <rc t="2" v="1402"/>
    </bk>
    <bk>
      <rc t="2" v="1403"/>
    </bk>
    <bk>
      <rc t="2" v="1404"/>
    </bk>
    <bk>
      <rc t="2" v="1405"/>
    </bk>
    <bk>
      <rc t="2" v="1406"/>
    </bk>
    <bk>
      <rc t="2" v="1407"/>
    </bk>
    <bk>
      <rc t="2" v="1408"/>
    </bk>
    <bk>
      <rc t="2" v="1409"/>
    </bk>
    <bk>
      <rc t="2" v="1410"/>
    </bk>
    <bk>
      <rc t="2" v="1411"/>
    </bk>
    <bk>
      <rc t="2" v="1412"/>
    </bk>
    <bk>
      <rc t="2" v="1413"/>
    </bk>
    <bk>
      <rc t="2" v="1414"/>
    </bk>
    <bk>
      <rc t="2" v="1415"/>
    </bk>
    <bk>
      <rc t="2" v="1416"/>
    </bk>
    <bk>
      <rc t="2" v="1417"/>
    </bk>
    <bk>
      <rc t="2" v="1418"/>
    </bk>
    <bk>
      <rc t="2" v="1419"/>
    </bk>
    <bk>
      <rc t="2" v="1420"/>
    </bk>
    <bk>
      <rc t="2" v="1421"/>
    </bk>
    <bk>
      <rc t="2" v="1422"/>
    </bk>
    <bk>
      <rc t="2" v="1423"/>
    </bk>
    <bk>
      <rc t="2" v="1424"/>
    </bk>
    <bk>
      <rc t="2" v="1425"/>
    </bk>
    <bk>
      <rc t="2" v="1426"/>
    </bk>
    <bk>
      <rc t="2" v="1427"/>
    </bk>
    <bk>
      <rc t="2" v="1428"/>
    </bk>
    <bk>
      <rc t="2" v="1429"/>
    </bk>
    <bk>
      <rc t="2" v="1430"/>
    </bk>
    <bk>
      <rc t="2" v="1431"/>
    </bk>
    <bk>
      <rc t="2" v="1432"/>
    </bk>
    <bk>
      <rc t="2" v="1433"/>
    </bk>
    <bk>
      <rc t="2" v="1434"/>
    </bk>
    <bk>
      <rc t="2" v="1435"/>
    </bk>
    <bk>
      <rc t="2" v="1436"/>
    </bk>
    <bk>
      <rc t="2" v="1437"/>
    </bk>
    <bk>
      <rc t="2" v="1438"/>
    </bk>
    <bk>
      <rc t="2" v="1439"/>
    </bk>
    <bk>
      <rc t="2" v="1440"/>
    </bk>
    <bk>
      <rc t="2" v="1441"/>
    </bk>
    <bk>
      <rc t="2" v="1442"/>
    </bk>
    <bk>
      <rc t="2" v="1443"/>
    </bk>
    <bk>
      <rc t="2" v="1444"/>
    </bk>
    <bk>
      <rc t="2" v="1445"/>
    </bk>
    <bk>
      <rc t="2" v="1446"/>
    </bk>
    <bk>
      <rc t="2" v="1447"/>
    </bk>
    <bk>
      <rc t="2" v="1448"/>
    </bk>
    <bk>
      <rc t="2" v="1449"/>
    </bk>
    <bk>
      <rc t="2" v="1450"/>
    </bk>
    <bk>
      <rc t="2" v="1451"/>
    </bk>
    <bk>
      <rc t="2" v="1452"/>
    </bk>
    <bk>
      <rc t="2" v="1453"/>
    </bk>
    <bk>
      <rc t="2" v="1454"/>
    </bk>
    <bk>
      <rc t="2" v="1455"/>
    </bk>
    <bk>
      <rc t="2" v="1456"/>
    </bk>
    <bk>
      <rc t="2" v="1457"/>
    </bk>
    <bk>
      <rc t="2" v="1458"/>
    </bk>
    <bk>
      <rc t="2" v="1459"/>
    </bk>
    <bk>
      <rc t="2" v="1460"/>
    </bk>
    <bk>
      <rc t="2" v="1461"/>
    </bk>
    <bk>
      <rc t="2" v="1462"/>
    </bk>
    <bk>
      <rc t="2" v="1463"/>
    </bk>
    <bk>
      <rc t="2" v="1464"/>
    </bk>
    <bk>
      <rc t="2" v="1465"/>
    </bk>
    <bk>
      <rc t="2" v="1466"/>
    </bk>
    <bk>
      <rc t="2" v="1467"/>
    </bk>
    <bk>
      <rc t="2" v="1468"/>
    </bk>
    <bk>
      <rc t="2" v="1469"/>
    </bk>
    <bk>
      <rc t="2" v="1470"/>
    </bk>
    <bk>
      <rc t="2" v="1471"/>
    </bk>
    <bk>
      <rc t="2" v="1472"/>
    </bk>
    <bk>
      <rc t="2" v="1473"/>
    </bk>
    <bk>
      <rc t="2" v="1474"/>
    </bk>
    <bk>
      <rc t="2" v="1475"/>
    </bk>
    <bk>
      <rc t="2" v="1476"/>
    </bk>
    <bk>
      <rc t="2" v="1477"/>
    </bk>
    <bk>
      <rc t="2" v="1478"/>
    </bk>
    <bk>
      <rc t="2" v="1479"/>
    </bk>
    <bk>
      <rc t="2" v="1480"/>
    </bk>
    <bk>
      <rc t="2" v="1481"/>
    </bk>
    <bk>
      <rc t="2" v="1482"/>
    </bk>
    <bk>
      <rc t="2" v="1483"/>
    </bk>
    <bk>
      <rc t="2" v="1484"/>
    </bk>
    <bk>
      <rc t="2" v="1485"/>
    </bk>
    <bk>
      <rc t="2" v="1486"/>
    </bk>
    <bk>
      <rc t="2" v="1487"/>
    </bk>
    <bk>
      <rc t="2" v="1488"/>
    </bk>
    <bk>
      <rc t="2" v="1489"/>
    </bk>
    <bk>
      <rc t="2" v="1490"/>
    </bk>
    <bk>
      <rc t="2" v="1491"/>
    </bk>
    <bk>
      <rc t="2" v="1492"/>
    </bk>
    <bk>
      <rc t="2" v="1493"/>
    </bk>
    <bk>
      <rc t="2" v="1494"/>
    </bk>
    <bk>
      <rc t="2" v="1495"/>
    </bk>
    <bk>
      <rc t="2" v="1496"/>
    </bk>
    <bk>
      <rc t="2" v="1497"/>
    </bk>
    <bk>
      <rc t="2" v="1498"/>
    </bk>
    <bk>
      <rc t="2" v="1499"/>
    </bk>
    <bk>
      <rc t="2" v="1500"/>
    </bk>
    <bk>
      <rc t="2" v="1501"/>
    </bk>
    <bk>
      <rc t="2" v="1502"/>
    </bk>
    <bk>
      <rc t="2" v="1503"/>
    </bk>
    <bk>
      <rc t="2" v="1504"/>
    </bk>
    <bk>
      <rc t="2" v="1505"/>
    </bk>
    <bk>
      <rc t="2" v="1506"/>
    </bk>
    <bk>
      <rc t="2" v="1507"/>
    </bk>
    <bk>
      <rc t="2" v="1508"/>
    </bk>
    <bk>
      <rc t="2" v="1509"/>
    </bk>
    <bk>
      <rc t="2" v="1510"/>
    </bk>
    <bk>
      <rc t="2" v="1511"/>
    </bk>
    <bk>
      <rc t="2" v="1512"/>
    </bk>
    <bk>
      <rc t="2" v="1513"/>
    </bk>
    <bk>
      <rc t="2" v="1514"/>
    </bk>
    <bk>
      <rc t="2" v="1515"/>
    </bk>
    <bk>
      <rc t="2" v="1516"/>
    </bk>
    <bk>
      <rc t="2" v="1517"/>
    </bk>
    <bk>
      <rc t="2" v="1518"/>
    </bk>
    <bk>
      <rc t="2" v="1519"/>
    </bk>
    <bk>
      <rc t="2" v="1520"/>
    </bk>
    <bk>
      <rc t="2" v="1521"/>
    </bk>
    <bk>
      <rc t="2" v="1522"/>
    </bk>
    <bk>
      <rc t="2" v="1523"/>
    </bk>
    <bk>
      <rc t="2" v="1524"/>
    </bk>
    <bk>
      <rc t="2" v="1525"/>
    </bk>
    <bk>
      <rc t="2" v="1526"/>
    </bk>
    <bk>
      <rc t="2" v="1527"/>
    </bk>
    <bk>
      <rc t="2" v="1528"/>
    </bk>
    <bk>
      <rc t="2" v="1529"/>
    </bk>
    <bk>
      <rc t="2" v="1530"/>
    </bk>
    <bk>
      <rc t="2" v="1531"/>
    </bk>
    <bk>
      <rc t="2" v="1532"/>
    </bk>
    <bk>
      <rc t="2" v="1533"/>
    </bk>
    <bk>
      <rc t="2" v="1534"/>
    </bk>
    <bk>
      <rc t="2" v="1535"/>
    </bk>
    <bk>
      <rc t="2" v="1536"/>
    </bk>
    <bk>
      <rc t="2" v="1537"/>
    </bk>
    <bk>
      <rc t="2" v="1538"/>
    </bk>
    <bk>
      <rc t="2" v="1539"/>
    </bk>
    <bk>
      <rc t="2" v="1540"/>
    </bk>
    <bk>
      <rc t="2" v="1541"/>
    </bk>
    <bk>
      <rc t="2" v="1542"/>
    </bk>
    <bk>
      <rc t="2" v="1543"/>
    </bk>
    <bk>
      <rc t="2" v="1544"/>
    </bk>
    <bk>
      <rc t="2" v="1545"/>
    </bk>
    <bk>
      <rc t="2" v="1546"/>
    </bk>
    <bk>
      <rc t="2" v="1547"/>
    </bk>
    <bk>
      <rc t="2" v="1548"/>
    </bk>
    <bk>
      <rc t="2" v="1549"/>
    </bk>
    <bk>
      <rc t="2" v="1550"/>
    </bk>
    <bk>
      <rc t="2" v="1551"/>
    </bk>
    <bk>
      <rc t="2" v="1552"/>
    </bk>
    <bk>
      <rc t="2" v="1553"/>
    </bk>
    <bk>
      <rc t="2" v="1554"/>
    </bk>
    <bk>
      <rc t="2" v="1555"/>
    </bk>
    <bk>
      <rc t="2" v="1556"/>
    </bk>
    <bk>
      <rc t="2" v="1557"/>
    </bk>
    <bk>
      <rc t="2" v="1558"/>
    </bk>
    <bk>
      <rc t="2" v="1559"/>
    </bk>
    <bk>
      <rc t="2" v="1560"/>
    </bk>
    <bk>
      <rc t="2" v="1561"/>
    </bk>
    <bk>
      <rc t="2" v="1562"/>
    </bk>
    <bk>
      <rc t="2" v="1563"/>
    </bk>
    <bk>
      <rc t="2" v="1564"/>
    </bk>
    <bk>
      <rc t="2" v="1565"/>
    </bk>
    <bk>
      <rc t="2" v="1566"/>
    </bk>
    <bk>
      <rc t="2" v="1567"/>
    </bk>
    <bk>
      <rc t="2" v="1568"/>
    </bk>
    <bk>
      <rc t="2" v="1569"/>
    </bk>
    <bk>
      <rc t="2" v="1570"/>
    </bk>
    <bk>
      <rc t="2" v="1571"/>
    </bk>
    <bk>
      <rc t="2" v="1572"/>
    </bk>
    <bk>
      <rc t="2" v="1573"/>
    </bk>
    <bk>
      <rc t="2" v="1574"/>
    </bk>
    <bk>
      <rc t="2" v="1575"/>
    </bk>
    <bk>
      <rc t="2" v="1576"/>
    </bk>
    <bk>
      <rc t="2" v="1577"/>
    </bk>
    <bk>
      <rc t="2" v="1578"/>
    </bk>
    <bk>
      <rc t="2" v="1579"/>
    </bk>
    <bk>
      <rc t="2" v="1580"/>
    </bk>
    <bk>
      <rc t="2" v="1581"/>
    </bk>
    <bk>
      <rc t="2" v="1582"/>
    </bk>
    <bk>
      <rc t="2" v="1583"/>
    </bk>
    <bk>
      <rc t="2" v="1584"/>
    </bk>
    <bk>
      <rc t="2" v="1585"/>
    </bk>
    <bk>
      <rc t="2" v="1586"/>
    </bk>
    <bk>
      <rc t="2" v="1587"/>
    </bk>
    <bk>
      <rc t="2" v="1588"/>
    </bk>
    <bk>
      <rc t="2" v="1589"/>
    </bk>
    <bk>
      <rc t="2" v="1590"/>
    </bk>
    <bk>
      <rc t="2" v="1591"/>
    </bk>
    <bk>
      <rc t="2" v="1592"/>
    </bk>
    <bk>
      <rc t="2" v="1593"/>
    </bk>
    <bk>
      <rc t="2" v="1594"/>
    </bk>
    <bk>
      <rc t="2" v="1595"/>
    </bk>
    <bk>
      <rc t="2" v="1596"/>
    </bk>
    <bk>
      <rc t="2" v="1597"/>
    </bk>
    <bk>
      <rc t="2" v="1598"/>
    </bk>
    <bk>
      <rc t="2" v="1599"/>
    </bk>
    <bk>
      <rc t="2" v="1600"/>
    </bk>
    <bk>
      <rc t="2" v="1601"/>
    </bk>
    <bk>
      <rc t="2" v="1602"/>
    </bk>
    <bk>
      <rc t="2" v="1603"/>
    </bk>
    <bk>
      <rc t="2" v="1604"/>
    </bk>
    <bk>
      <rc t="2" v="1605"/>
    </bk>
    <bk>
      <rc t="2" v="1606"/>
    </bk>
    <bk>
      <rc t="2" v="1607"/>
    </bk>
    <bk>
      <rc t="2" v="1608"/>
    </bk>
    <bk>
      <rc t="2" v="1609"/>
    </bk>
    <bk>
      <rc t="2" v="1610"/>
    </bk>
    <bk>
      <rc t="2" v="1611"/>
    </bk>
    <bk>
      <rc t="2" v="1612"/>
    </bk>
    <bk>
      <rc t="2" v="1613"/>
    </bk>
    <bk>
      <rc t="2" v="1614"/>
    </bk>
    <bk>
      <rc t="2" v="1615"/>
    </bk>
    <bk>
      <rc t="2" v="1616"/>
    </bk>
    <bk>
      <rc t="2" v="1617"/>
    </bk>
    <bk>
      <rc t="2" v="1618"/>
    </bk>
    <bk>
      <rc t="2" v="1619"/>
    </bk>
    <bk>
      <rc t="2" v="1620"/>
    </bk>
    <bk>
      <rc t="2" v="1621"/>
    </bk>
    <bk>
      <rc t="2" v="1622"/>
    </bk>
    <bk>
      <rc t="2" v="1623"/>
    </bk>
    <bk>
      <rc t="2" v="1624"/>
    </bk>
    <bk>
      <rc t="2" v="1625"/>
    </bk>
    <bk>
      <rc t="2" v="1626"/>
    </bk>
    <bk>
      <rc t="2" v="1627"/>
    </bk>
    <bk>
      <rc t="2" v="1628"/>
    </bk>
    <bk>
      <rc t="2" v="1629"/>
    </bk>
    <bk>
      <rc t="2" v="1630"/>
    </bk>
    <bk>
      <rc t="2" v="1631"/>
    </bk>
    <bk>
      <rc t="2" v="1632"/>
    </bk>
    <bk>
      <rc t="2" v="1633"/>
    </bk>
    <bk>
      <rc t="2" v="1634"/>
    </bk>
    <bk>
      <rc t="2" v="1635"/>
    </bk>
    <bk>
      <rc t="2" v="1636"/>
    </bk>
    <bk>
      <rc t="2" v="1637"/>
    </bk>
    <bk>
      <rc t="2" v="1638"/>
    </bk>
    <bk>
      <rc t="2" v="1639"/>
    </bk>
    <bk>
      <rc t="2" v="1640"/>
    </bk>
    <bk>
      <rc t="2" v="1641"/>
    </bk>
    <bk>
      <rc t="2" v="1642"/>
    </bk>
    <bk>
      <rc t="2" v="1643"/>
    </bk>
    <bk>
      <rc t="2" v="1644"/>
    </bk>
    <bk>
      <rc t="2" v="1645"/>
    </bk>
    <bk>
      <rc t="2" v="1646"/>
    </bk>
    <bk>
      <rc t="2" v="1647"/>
    </bk>
    <bk>
      <rc t="2" v="1648"/>
    </bk>
    <bk>
      <rc t="2" v="1649"/>
    </bk>
    <bk>
      <rc t="2" v="1650"/>
    </bk>
    <bk>
      <rc t="2" v="1651"/>
    </bk>
    <bk>
      <rc t="2" v="1652"/>
    </bk>
    <bk>
      <rc t="2" v="1653"/>
    </bk>
    <bk>
      <rc t="2" v="1654"/>
    </bk>
    <bk>
      <rc t="2" v="1655"/>
    </bk>
    <bk>
      <rc t="2" v="1656"/>
    </bk>
    <bk>
      <rc t="2" v="1657"/>
    </bk>
    <bk>
      <rc t="2" v="1658"/>
    </bk>
    <bk>
      <rc t="2" v="1659"/>
    </bk>
    <bk>
      <rc t="2" v="1660"/>
    </bk>
    <bk>
      <rc t="2" v="1661"/>
    </bk>
    <bk>
      <rc t="2" v="1662"/>
    </bk>
    <bk>
      <rc t="2" v="1663"/>
    </bk>
    <bk>
      <rc t="2" v="1664"/>
    </bk>
    <bk>
      <rc t="2" v="1665"/>
    </bk>
    <bk>
      <rc t="2" v="1666"/>
    </bk>
    <bk>
      <rc t="2" v="1667"/>
    </bk>
    <bk>
      <rc t="2" v="1668"/>
    </bk>
    <bk>
      <rc t="2" v="1669"/>
    </bk>
    <bk>
      <rc t="2" v="1670"/>
    </bk>
    <bk>
      <rc t="2" v="1671"/>
    </bk>
    <bk>
      <rc t="2" v="1672"/>
    </bk>
    <bk>
      <rc t="2" v="1673"/>
    </bk>
    <bk>
      <rc t="2" v="1674"/>
    </bk>
    <bk>
      <rc t="2" v="1675"/>
    </bk>
    <bk>
      <rc t="2" v="1676"/>
    </bk>
    <bk>
      <rc t="2" v="1677"/>
    </bk>
    <bk>
      <rc t="2" v="1678"/>
    </bk>
    <bk>
      <rc t="2" v="1679"/>
    </bk>
    <bk>
      <rc t="2" v="1680"/>
    </bk>
    <bk>
      <rc t="2" v="1681"/>
    </bk>
    <bk>
      <rc t="2" v="1682"/>
    </bk>
    <bk>
      <rc t="2" v="1683"/>
    </bk>
    <bk>
      <rc t="2" v="1684"/>
    </bk>
    <bk>
      <rc t="2" v="1685"/>
    </bk>
    <bk>
      <rc t="2" v="1686"/>
    </bk>
    <bk>
      <rc t="2" v="1687"/>
    </bk>
    <bk>
      <rc t="2" v="1688"/>
    </bk>
    <bk>
      <rc t="2" v="1689"/>
    </bk>
    <bk>
      <rc t="2" v="1690"/>
    </bk>
    <bk>
      <rc t="2" v="1691"/>
    </bk>
    <bk>
      <rc t="2" v="1692"/>
    </bk>
    <bk>
      <rc t="2" v="1693"/>
    </bk>
    <bk>
      <rc t="2" v="1694"/>
    </bk>
    <bk>
      <rc t="2" v="1695"/>
    </bk>
    <bk>
      <rc t="2" v="1696"/>
    </bk>
    <bk>
      <rc t="2" v="1697"/>
    </bk>
    <bk>
      <rc t="2" v="1698"/>
    </bk>
    <bk>
      <rc t="2" v="1699"/>
    </bk>
    <bk>
      <rc t="2" v="1700"/>
    </bk>
    <bk>
      <rc t="2" v="1701"/>
    </bk>
    <bk>
      <rc t="2" v="1702"/>
    </bk>
    <bk>
      <rc t="2" v="1703"/>
    </bk>
    <bk>
      <rc t="2" v="1704"/>
    </bk>
    <bk>
      <rc t="2" v="1705"/>
    </bk>
    <bk>
      <rc t="2" v="1706"/>
    </bk>
    <bk>
      <rc t="2" v="1707"/>
    </bk>
    <bk>
      <rc t="2" v="1708"/>
    </bk>
    <bk>
      <rc t="2" v="1709"/>
    </bk>
    <bk>
      <rc t="2" v="1710"/>
    </bk>
    <bk>
      <rc t="2" v="1711"/>
    </bk>
    <bk>
      <rc t="2" v="1712"/>
    </bk>
    <bk>
      <rc t="2" v="1713"/>
    </bk>
    <bk>
      <rc t="2" v="1714"/>
    </bk>
    <bk>
      <rc t="2" v="1715"/>
    </bk>
    <bk>
      <rc t="2" v="1716"/>
    </bk>
    <bk>
      <rc t="2" v="1717"/>
    </bk>
    <bk>
      <rc t="2" v="1718"/>
    </bk>
    <bk>
      <rc t="2" v="1719"/>
    </bk>
    <bk>
      <rc t="2" v="1720"/>
    </bk>
    <bk>
      <rc t="2" v="1721"/>
    </bk>
    <bk>
      <rc t="2" v="1722"/>
    </bk>
    <bk>
      <rc t="2" v="1723"/>
    </bk>
    <bk>
      <rc t="2" v="1724"/>
    </bk>
    <bk>
      <rc t="2" v="1725"/>
    </bk>
    <bk>
      <rc t="2" v="1726"/>
    </bk>
    <bk>
      <rc t="2" v="1727"/>
    </bk>
    <bk>
      <rc t="2" v="1728"/>
    </bk>
    <bk>
      <rc t="2" v="1729"/>
    </bk>
    <bk>
      <rc t="2" v="1730"/>
    </bk>
    <bk>
      <rc t="2" v="1731"/>
    </bk>
    <bk>
      <rc t="2" v="1732"/>
    </bk>
    <bk>
      <rc t="2" v="1733"/>
    </bk>
    <bk>
      <rc t="2" v="1734"/>
    </bk>
    <bk>
      <rc t="2" v="1735"/>
    </bk>
    <bk>
      <rc t="2" v="1736"/>
    </bk>
    <bk>
      <rc t="2" v="1737"/>
    </bk>
    <bk>
      <rc t="2" v="1738"/>
    </bk>
    <bk>
      <rc t="2" v="1739"/>
    </bk>
    <bk>
      <rc t="2" v="1740"/>
    </bk>
    <bk>
      <rc t="2" v="1741"/>
    </bk>
    <bk>
      <rc t="2" v="1742"/>
    </bk>
    <bk>
      <rc t="2" v="1743"/>
    </bk>
    <bk>
      <rc t="2" v="1744"/>
    </bk>
    <bk>
      <rc t="2" v="1745"/>
    </bk>
    <bk>
      <rc t="2" v="1746"/>
    </bk>
    <bk>
      <rc t="2" v="1747"/>
    </bk>
    <bk>
      <rc t="2" v="1748"/>
    </bk>
    <bk>
      <rc t="2" v="1749"/>
    </bk>
    <bk>
      <rc t="2" v="1750"/>
    </bk>
    <bk>
      <rc t="2" v="1751"/>
    </bk>
    <bk>
      <rc t="2" v="1752"/>
    </bk>
    <bk>
      <rc t="2" v="1753"/>
    </bk>
    <bk>
      <rc t="2" v="1754"/>
    </bk>
    <bk>
      <rc t="2" v="1755"/>
    </bk>
    <bk>
      <rc t="2" v="1756"/>
    </bk>
    <bk>
      <rc t="2" v="1757"/>
    </bk>
    <bk>
      <rc t="2" v="1758"/>
    </bk>
    <bk>
      <rc t="2" v="1759"/>
    </bk>
    <bk>
      <rc t="2" v="1760"/>
    </bk>
    <bk>
      <rc t="2" v="1761"/>
    </bk>
    <bk>
      <rc t="2" v="1762"/>
    </bk>
    <bk>
      <rc t="2" v="1763"/>
    </bk>
    <bk>
      <rc t="2" v="1764"/>
    </bk>
    <bk>
      <rc t="2" v="1765"/>
    </bk>
    <bk>
      <rc t="2" v="1766"/>
    </bk>
    <bk>
      <rc t="2" v="1767"/>
    </bk>
    <bk>
      <rc t="2" v="1768"/>
    </bk>
    <bk>
      <rc t="2" v="1769"/>
    </bk>
    <bk>
      <rc t="2" v="1770"/>
    </bk>
    <bk>
      <rc t="2" v="1771"/>
    </bk>
    <bk>
      <rc t="2" v="1772"/>
    </bk>
    <bk>
      <rc t="2" v="1773"/>
    </bk>
    <bk>
      <rc t="2" v="1774"/>
    </bk>
    <bk>
      <rc t="2" v="1775"/>
    </bk>
    <bk>
      <rc t="2" v="1776"/>
    </bk>
    <bk>
      <rc t="2" v="1777"/>
    </bk>
    <bk>
      <rc t="2" v="1778"/>
    </bk>
    <bk>
      <rc t="2" v="1779"/>
    </bk>
    <bk>
      <rc t="2" v="1780"/>
    </bk>
    <bk>
      <rc t="2" v="1781"/>
    </bk>
    <bk>
      <rc t="2" v="1782"/>
    </bk>
    <bk>
      <rc t="2" v="1783"/>
    </bk>
    <bk>
      <rc t="2" v="1784"/>
    </bk>
    <bk>
      <rc t="2" v="1785"/>
    </bk>
    <bk>
      <rc t="2" v="1786"/>
    </bk>
    <bk>
      <rc t="2" v="1787"/>
    </bk>
    <bk>
      <rc t="2" v="1788"/>
    </bk>
    <bk>
      <rc t="2" v="1789"/>
    </bk>
    <bk>
      <rc t="2" v="1790"/>
    </bk>
    <bk>
      <rc t="2" v="1791"/>
    </bk>
    <bk>
      <rc t="2" v="1792"/>
    </bk>
    <bk>
      <rc t="2" v="1793"/>
    </bk>
    <bk>
      <rc t="2" v="1794"/>
    </bk>
    <bk>
      <rc t="2" v="1795"/>
    </bk>
    <bk>
      <rc t="2" v="1796"/>
    </bk>
    <bk>
      <rc t="2" v="1797"/>
    </bk>
    <bk>
      <rc t="2" v="1798"/>
    </bk>
    <bk>
      <rc t="2" v="1799"/>
    </bk>
    <bk>
      <rc t="2" v="1800"/>
    </bk>
    <bk>
      <rc t="2" v="1801"/>
    </bk>
    <bk>
      <rc t="2" v="1802"/>
    </bk>
    <bk>
      <rc t="2" v="1803"/>
    </bk>
    <bk>
      <rc t="2" v="1804"/>
    </bk>
    <bk>
      <rc t="2" v="1805"/>
    </bk>
    <bk>
      <rc t="2" v="1806"/>
    </bk>
    <bk>
      <rc t="2" v="1807"/>
    </bk>
    <bk>
      <rc t="2" v="1808"/>
    </bk>
    <bk>
      <rc t="2" v="1809"/>
    </bk>
    <bk>
      <rc t="2" v="1810"/>
    </bk>
    <bk>
      <rc t="2" v="1811"/>
    </bk>
    <bk>
      <rc t="2" v="1812"/>
    </bk>
    <bk>
      <rc t="2" v="1813"/>
    </bk>
    <bk>
      <rc t="2" v="1814"/>
    </bk>
    <bk>
      <rc t="2" v="1815"/>
    </bk>
    <bk>
      <rc t="2" v="1816"/>
    </bk>
    <bk>
      <rc t="2" v="1817"/>
    </bk>
    <bk>
      <rc t="2" v="1818"/>
    </bk>
    <bk>
      <rc t="2" v="1819"/>
    </bk>
    <bk>
      <rc t="2" v="1820"/>
    </bk>
    <bk>
      <rc t="2" v="1821"/>
    </bk>
    <bk>
      <rc t="2" v="1822"/>
    </bk>
    <bk>
      <rc t="2" v="1823"/>
    </bk>
    <bk>
      <rc t="2" v="1824"/>
    </bk>
    <bk>
      <rc t="2" v="1825"/>
    </bk>
    <bk>
      <rc t="2" v="1826"/>
    </bk>
    <bk>
      <rc t="2" v="1827"/>
    </bk>
    <bk>
      <rc t="2" v="1828"/>
    </bk>
    <bk>
      <rc t="2" v="1829"/>
    </bk>
    <bk>
      <rc t="2" v="1830"/>
    </bk>
    <bk>
      <rc t="2" v="1831"/>
    </bk>
    <bk>
      <rc t="2" v="1832"/>
    </bk>
    <bk>
      <rc t="2" v="1833"/>
    </bk>
    <bk>
      <rc t="2" v="1834"/>
    </bk>
    <bk>
      <rc t="2" v="1835"/>
    </bk>
    <bk>
      <rc t="2" v="1836"/>
    </bk>
    <bk>
      <rc t="2" v="1837"/>
    </bk>
    <bk>
      <rc t="2" v="1838"/>
    </bk>
    <bk>
      <rc t="2" v="1839"/>
    </bk>
    <bk>
      <rc t="2" v="1840"/>
    </bk>
    <bk>
      <rc t="2" v="1841"/>
    </bk>
    <bk>
      <rc t="2" v="1842"/>
    </bk>
    <bk>
      <rc t="2" v="1843"/>
    </bk>
    <bk>
      <rc t="2" v="1844"/>
    </bk>
    <bk>
      <rc t="2" v="1845"/>
    </bk>
    <bk>
      <rc t="2" v="1846"/>
    </bk>
    <bk>
      <rc t="2" v="1847"/>
    </bk>
    <bk>
      <rc t="2" v="1848"/>
    </bk>
    <bk>
      <rc t="2" v="1849"/>
    </bk>
    <bk>
      <rc t="2" v="1850"/>
    </bk>
    <bk>
      <rc t="2" v="1851"/>
    </bk>
    <bk>
      <rc t="2" v="1852"/>
    </bk>
    <bk>
      <rc t="2" v="1853"/>
    </bk>
    <bk>
      <rc t="2" v="1854"/>
    </bk>
    <bk>
      <rc t="2" v="1855"/>
    </bk>
    <bk>
      <rc t="2" v="1856"/>
    </bk>
    <bk>
      <rc t="2" v="1857"/>
    </bk>
    <bk>
      <rc t="2" v="1858"/>
    </bk>
    <bk>
      <rc t="2" v="1859"/>
    </bk>
    <bk>
      <rc t="2" v="1860"/>
    </bk>
    <bk>
      <rc t="2" v="1861"/>
    </bk>
    <bk>
      <rc t="2" v="1862"/>
    </bk>
    <bk>
      <rc t="2" v="1863"/>
    </bk>
    <bk>
      <rc t="2" v="1864"/>
    </bk>
    <bk>
      <rc t="2" v="1865"/>
    </bk>
    <bk>
      <rc t="2" v="1866"/>
    </bk>
    <bk>
      <rc t="2" v="1867"/>
    </bk>
    <bk>
      <rc t="2" v="1868"/>
    </bk>
    <bk>
      <rc t="2" v="1869"/>
    </bk>
    <bk>
      <rc t="2" v="1870"/>
    </bk>
    <bk>
      <rc t="2" v="1871"/>
    </bk>
    <bk>
      <rc t="2" v="1872"/>
    </bk>
    <bk>
      <rc t="2" v="1873"/>
    </bk>
    <bk>
      <rc t="2" v="1874"/>
    </bk>
    <bk>
      <rc t="2" v="1875"/>
    </bk>
    <bk>
      <rc t="2" v="1876"/>
    </bk>
    <bk>
      <rc t="2" v="1877"/>
    </bk>
    <bk>
      <rc t="2" v="1878"/>
    </bk>
    <bk>
      <rc t="2" v="1879"/>
    </bk>
    <bk>
      <rc t="2" v="1880"/>
    </bk>
    <bk>
      <rc t="2" v="1881"/>
    </bk>
    <bk>
      <rc t="2" v="1882"/>
    </bk>
    <bk>
      <rc t="2" v="1883"/>
    </bk>
    <bk>
      <rc t="2" v="1884"/>
    </bk>
    <bk>
      <rc t="2" v="1885"/>
    </bk>
    <bk>
      <rc t="2" v="1886"/>
    </bk>
    <bk>
      <rc t="2" v="1887"/>
    </bk>
    <bk>
      <rc t="2" v="1888"/>
    </bk>
    <bk>
      <rc t="2" v="1889"/>
    </bk>
    <bk>
      <rc t="2" v="1890"/>
    </bk>
    <bk>
      <rc t="2" v="1891"/>
    </bk>
    <bk>
      <rc t="2" v="1892"/>
    </bk>
    <bk>
      <rc t="2" v="1893"/>
    </bk>
    <bk>
      <rc t="2" v="1894"/>
    </bk>
    <bk>
      <rc t="2" v="1895"/>
    </bk>
    <bk>
      <rc t="2" v="1896"/>
    </bk>
    <bk>
      <rc t="2" v="1897"/>
    </bk>
    <bk>
      <rc t="2" v="1898"/>
    </bk>
    <bk>
      <rc t="2" v="1899"/>
    </bk>
    <bk>
      <rc t="2" v="1900"/>
    </bk>
    <bk>
      <rc t="2" v="1901"/>
    </bk>
    <bk>
      <rc t="2" v="1902"/>
    </bk>
    <bk>
      <rc t="2" v="1903"/>
    </bk>
    <bk>
      <rc t="2" v="1904"/>
    </bk>
    <bk>
      <rc t="2" v="1905"/>
    </bk>
    <bk>
      <rc t="2" v="1906"/>
    </bk>
    <bk>
      <rc t="2" v="1907"/>
    </bk>
    <bk>
      <rc t="2" v="1908"/>
    </bk>
    <bk>
      <rc t="2" v="1909"/>
    </bk>
    <bk>
      <rc t="2" v="1910"/>
    </bk>
    <bk>
      <rc t="2" v="1911"/>
    </bk>
    <bk>
      <rc t="2" v="1912"/>
    </bk>
    <bk>
      <rc t="2" v="1913"/>
    </bk>
    <bk>
      <rc t="2" v="1914"/>
    </bk>
    <bk>
      <rc t="2" v="1915"/>
    </bk>
    <bk>
      <rc t="2" v="1916"/>
    </bk>
    <bk>
      <rc t="2" v="1917"/>
    </bk>
    <bk>
      <rc t="2" v="1918"/>
    </bk>
    <bk>
      <rc t="2" v="1919"/>
    </bk>
    <bk>
      <rc t="2" v="1920"/>
    </bk>
    <bk>
      <rc t="2" v="1921"/>
    </bk>
    <bk>
      <rc t="2" v="1922"/>
    </bk>
    <bk>
      <rc t="2" v="1923"/>
    </bk>
    <bk>
      <rc t="2" v="1924"/>
    </bk>
    <bk>
      <rc t="2" v="1925"/>
    </bk>
    <bk>
      <rc t="2" v="1926"/>
    </bk>
    <bk>
      <rc t="2" v="1927"/>
    </bk>
    <bk>
      <rc t="2" v="1928"/>
    </bk>
    <bk>
      <rc t="2" v="1929"/>
    </bk>
    <bk>
      <rc t="2" v="1930"/>
    </bk>
    <bk>
      <rc t="2" v="1931"/>
    </bk>
    <bk>
      <rc t="2" v="1932"/>
    </bk>
    <bk>
      <rc t="2" v="1933"/>
    </bk>
    <bk>
      <rc t="2" v="1934"/>
    </bk>
    <bk>
      <rc t="2" v="1935"/>
    </bk>
    <bk>
      <rc t="2" v="1936"/>
    </bk>
    <bk>
      <rc t="2" v="1937"/>
    </bk>
    <bk>
      <rc t="2" v="1938"/>
    </bk>
    <bk>
      <rc t="2" v="1939"/>
    </bk>
    <bk>
      <rc t="2" v="1940"/>
    </bk>
    <bk>
      <rc t="2" v="1941"/>
    </bk>
    <bk>
      <rc t="2" v="1942"/>
    </bk>
    <bk>
      <rc t="2" v="1943"/>
    </bk>
    <bk>
      <rc t="2" v="1944"/>
    </bk>
    <bk>
      <rc t="2" v="1945"/>
    </bk>
    <bk>
      <rc t="2" v="1946"/>
    </bk>
    <bk>
      <rc t="2" v="1947"/>
    </bk>
    <bk>
      <rc t="2" v="1948"/>
    </bk>
    <bk>
      <rc t="2" v="1949"/>
    </bk>
    <bk>
      <rc t="2" v="1950"/>
    </bk>
    <bk>
      <rc t="2" v="1951"/>
    </bk>
    <bk>
      <rc t="2" v="1952"/>
    </bk>
    <bk>
      <rc t="2" v="1953"/>
    </bk>
    <bk>
      <rc t="2" v="1954"/>
    </bk>
    <bk>
      <rc t="2" v="1955"/>
    </bk>
    <bk>
      <rc t="2" v="1956"/>
    </bk>
    <bk>
      <rc t="2" v="1957"/>
    </bk>
    <bk>
      <rc t="2" v="1958"/>
    </bk>
    <bk>
      <rc t="2" v="1959"/>
    </bk>
    <bk>
      <rc t="2" v="1960"/>
    </bk>
    <bk>
      <rc t="2" v="1961"/>
    </bk>
    <bk>
      <rc t="2" v="1962"/>
    </bk>
    <bk>
      <rc t="2" v="1963"/>
    </bk>
    <bk>
      <rc t="2" v="1964"/>
    </bk>
    <bk>
      <rc t="2" v="1965"/>
    </bk>
    <bk>
      <rc t="2" v="1966"/>
    </bk>
    <bk>
      <rc t="2" v="1967"/>
    </bk>
    <bk>
      <rc t="2" v="1968"/>
    </bk>
    <bk>
      <rc t="2" v="1969"/>
    </bk>
    <bk>
      <rc t="2" v="1970"/>
    </bk>
    <bk>
      <rc t="2" v="1971"/>
    </bk>
    <bk>
      <rc t="2" v="1972"/>
    </bk>
    <bk>
      <rc t="2" v="1973"/>
    </bk>
    <bk>
      <rc t="2" v="1974"/>
    </bk>
    <bk>
      <rc t="2" v="1975"/>
    </bk>
    <bk>
      <rc t="2" v="1976"/>
    </bk>
    <bk>
      <rc t="2" v="1977"/>
    </bk>
    <bk>
      <rc t="2" v="1978"/>
    </bk>
    <bk>
      <rc t="2" v="1979"/>
    </bk>
    <bk>
      <rc t="2" v="1980"/>
    </bk>
    <bk>
      <rc t="2" v="1981"/>
    </bk>
    <bk>
      <rc t="2" v="1982"/>
    </bk>
    <bk>
      <rc t="2" v="1983"/>
    </bk>
    <bk>
      <rc t="2" v="1984"/>
    </bk>
    <bk>
      <rc t="2" v="1985"/>
    </bk>
    <bk>
      <rc t="2" v="1986"/>
    </bk>
    <bk>
      <rc t="2" v="1987"/>
    </bk>
    <bk>
      <rc t="2" v="1988"/>
    </bk>
    <bk>
      <rc t="2" v="1989"/>
    </bk>
    <bk>
      <rc t="2" v="1990"/>
    </bk>
    <bk>
      <rc t="2" v="1991"/>
    </bk>
    <bk>
      <rc t="2" v="1992"/>
    </bk>
    <bk>
      <rc t="2" v="1993"/>
    </bk>
    <bk>
      <rc t="2" v="1994"/>
    </bk>
    <bk>
      <rc t="2" v="1995"/>
    </bk>
    <bk>
      <rc t="2" v="1996"/>
    </bk>
    <bk>
      <rc t="2" v="1997"/>
    </bk>
    <bk>
      <rc t="2" v="1998"/>
    </bk>
    <bk>
      <rc t="2" v="1999"/>
    </bk>
    <bk>
      <rc t="2" v="2000"/>
    </bk>
    <bk>
      <rc t="2" v="2001"/>
    </bk>
    <bk>
      <rc t="2" v="2002"/>
    </bk>
    <bk>
      <rc t="2" v="2003"/>
    </bk>
    <bk>
      <rc t="2" v="2004"/>
    </bk>
    <bk>
      <rc t="2" v="2005"/>
    </bk>
    <bk>
      <rc t="2" v="2006"/>
    </bk>
    <bk>
      <rc t="2" v="2007"/>
    </bk>
    <bk>
      <rc t="2" v="2008"/>
    </bk>
    <bk>
      <rc t="2" v="2009"/>
    </bk>
    <bk>
      <rc t="2" v="2010"/>
    </bk>
    <bk>
      <rc t="2" v="2011"/>
    </bk>
    <bk>
      <rc t="2" v="2012"/>
    </bk>
    <bk>
      <rc t="2" v="2013"/>
    </bk>
    <bk>
      <rc t="2" v="2014"/>
    </bk>
    <bk>
      <rc t="2" v="2015"/>
    </bk>
    <bk>
      <rc t="2" v="2016"/>
    </bk>
    <bk>
      <rc t="2" v="2017"/>
    </bk>
    <bk>
      <rc t="2" v="2018"/>
    </bk>
    <bk>
      <rc t="2" v="2019"/>
    </bk>
    <bk>
      <rc t="2" v="2020"/>
    </bk>
    <bk>
      <rc t="2" v="2021"/>
    </bk>
    <bk>
      <rc t="2" v="2022"/>
    </bk>
    <bk>
      <rc t="2" v="2023"/>
    </bk>
    <bk>
      <rc t="2" v="2024"/>
    </bk>
    <bk>
      <rc t="2" v="2025"/>
    </bk>
    <bk>
      <rc t="2" v="2026"/>
    </bk>
    <bk>
      <rc t="2" v="2027"/>
    </bk>
    <bk>
      <rc t="2" v="2028"/>
    </bk>
    <bk>
      <rc t="2" v="2029"/>
    </bk>
    <bk>
      <rc t="2" v="2030"/>
    </bk>
    <bk>
      <rc t="2" v="2031"/>
    </bk>
    <bk>
      <rc t="2" v="2032"/>
    </bk>
    <bk>
      <rc t="2" v="2033"/>
    </bk>
    <bk>
      <rc t="2" v="2034"/>
    </bk>
    <bk>
      <rc t="2" v="2035"/>
    </bk>
    <bk>
      <rc t="2" v="2036"/>
    </bk>
    <bk>
      <rc t="2" v="2037"/>
    </bk>
    <bk>
      <rc t="2" v="2038"/>
    </bk>
    <bk>
      <rc t="2" v="2039"/>
    </bk>
    <bk>
      <rc t="2" v="2040"/>
    </bk>
    <bk>
      <rc t="2" v="2041"/>
    </bk>
    <bk>
      <rc t="2" v="2042"/>
    </bk>
    <bk>
      <rc t="2" v="2043"/>
    </bk>
    <bk>
      <rc t="2" v="2044"/>
    </bk>
    <bk>
      <rc t="2" v="2045"/>
    </bk>
    <bk>
      <rc t="2" v="2046"/>
    </bk>
    <bk>
      <rc t="2" v="2047"/>
    </bk>
    <bk>
      <rc t="2" v="2048"/>
    </bk>
    <bk>
      <rc t="2" v="2049"/>
    </bk>
    <bk>
      <rc t="2" v="2050"/>
    </bk>
    <bk>
      <rc t="2" v="2051"/>
    </bk>
    <bk>
      <rc t="2" v="2052"/>
    </bk>
    <bk>
      <rc t="2" v="2053"/>
    </bk>
    <bk>
      <rc t="2" v="2054"/>
    </bk>
    <bk>
      <rc t="2" v="2055"/>
    </bk>
    <bk>
      <rc t="2" v="2056"/>
    </bk>
    <bk>
      <rc t="2" v="2057"/>
    </bk>
    <bk>
      <rc t="2" v="2058"/>
    </bk>
    <bk>
      <rc t="2" v="2059"/>
    </bk>
    <bk>
      <rc t="2" v="2060"/>
    </bk>
    <bk>
      <rc t="2" v="2061"/>
    </bk>
    <bk>
      <rc t="2" v="2062"/>
    </bk>
    <bk>
      <rc t="2" v="2063"/>
    </bk>
    <bk>
      <rc t="2" v="2064"/>
    </bk>
    <bk>
      <rc t="2" v="2065"/>
    </bk>
    <bk>
      <rc t="2" v="2066"/>
    </bk>
    <bk>
      <rc t="2" v="2067"/>
    </bk>
    <bk>
      <rc t="2" v="2068"/>
    </bk>
    <bk>
      <rc t="2" v="2069"/>
    </bk>
    <bk>
      <rc t="2" v="2070"/>
    </bk>
    <bk>
      <rc t="2" v="2071"/>
    </bk>
    <bk>
      <rc t="2" v="2072"/>
    </bk>
    <bk>
      <rc t="2" v="2073"/>
    </bk>
    <bk>
      <rc t="2" v="2074"/>
    </bk>
    <bk>
      <rc t="2" v="2075"/>
    </bk>
    <bk>
      <rc t="2" v="2076"/>
    </bk>
    <bk>
      <rc t="2" v="2077"/>
    </bk>
    <bk>
      <rc t="2" v="2078"/>
    </bk>
    <bk>
      <rc t="2" v="2079"/>
    </bk>
    <bk>
      <rc t="2" v="2080"/>
    </bk>
    <bk>
      <rc t="2" v="2081"/>
    </bk>
    <bk>
      <rc t="2" v="2082"/>
    </bk>
    <bk>
      <rc t="2" v="2083"/>
    </bk>
    <bk>
      <rc t="2" v="2084"/>
    </bk>
    <bk>
      <rc t="2" v="2085"/>
    </bk>
    <bk>
      <rc t="2" v="2086"/>
    </bk>
    <bk>
      <rc t="2" v="2087"/>
    </bk>
    <bk>
      <rc t="2" v="2088"/>
    </bk>
    <bk>
      <rc t="2" v="2089"/>
    </bk>
    <bk>
      <rc t="2" v="2090"/>
    </bk>
    <bk>
      <rc t="2" v="2091"/>
    </bk>
    <bk>
      <rc t="2" v="2092"/>
    </bk>
    <bk>
      <rc t="2" v="2093"/>
    </bk>
    <bk>
      <rc t="2" v="2094"/>
    </bk>
    <bk>
      <rc t="2" v="2095"/>
    </bk>
    <bk>
      <rc t="2" v="2096"/>
    </bk>
    <bk>
      <rc t="2" v="2097"/>
    </bk>
    <bk>
      <rc t="2" v="2098"/>
    </bk>
    <bk>
      <rc t="2" v="2099"/>
    </bk>
    <bk>
      <rc t="2" v="2100"/>
    </bk>
    <bk>
      <rc t="2" v="2101"/>
    </bk>
    <bk>
      <rc t="2" v="2102"/>
    </bk>
    <bk>
      <rc t="2" v="2103"/>
    </bk>
    <bk>
      <rc t="2" v="2104"/>
    </bk>
    <bk>
      <rc t="2" v="2105"/>
    </bk>
    <bk>
      <rc t="2" v="2106"/>
    </bk>
    <bk>
      <rc t="2" v="2107"/>
    </bk>
    <bk>
      <rc t="2" v="2108"/>
    </bk>
    <bk>
      <rc t="2" v="2109"/>
    </bk>
    <bk>
      <rc t="2" v="2110"/>
    </bk>
    <bk>
      <rc t="2" v="2111"/>
    </bk>
    <bk>
      <rc t="2" v="2112"/>
    </bk>
    <bk>
      <rc t="2" v="2113"/>
    </bk>
    <bk>
      <rc t="2" v="2114"/>
    </bk>
    <bk>
      <rc t="2" v="2115"/>
    </bk>
    <bk>
      <rc t="2" v="2116"/>
    </bk>
    <bk>
      <rc t="2" v="2117"/>
    </bk>
    <bk>
      <rc t="2" v="2118"/>
    </bk>
    <bk>
      <rc t="2" v="2119"/>
    </bk>
    <bk>
      <rc t="2" v="2120"/>
    </bk>
    <bk>
      <rc t="2" v="2121"/>
    </bk>
    <bk>
      <rc t="2" v="2122"/>
    </bk>
    <bk>
      <rc t="2" v="2123"/>
    </bk>
    <bk>
      <rc t="2" v="2124"/>
    </bk>
    <bk>
      <rc t="2" v="2125"/>
    </bk>
    <bk>
      <rc t="2" v="2126"/>
    </bk>
    <bk>
      <rc t="2" v="2127"/>
    </bk>
    <bk>
      <rc t="2" v="2128"/>
    </bk>
    <bk>
      <rc t="2" v="2129"/>
    </bk>
    <bk>
      <rc t="2" v="2130"/>
    </bk>
    <bk>
      <rc t="2" v="2131"/>
    </bk>
    <bk>
      <rc t="2" v="2132"/>
    </bk>
    <bk>
      <rc t="2" v="2133"/>
    </bk>
    <bk>
      <rc t="2" v="2134"/>
    </bk>
    <bk>
      <rc t="2" v="2135"/>
    </bk>
    <bk>
      <rc t="2" v="2136"/>
    </bk>
    <bk>
      <rc t="2" v="2137"/>
    </bk>
    <bk>
      <rc t="2" v="2138"/>
    </bk>
    <bk>
      <rc t="2" v="2139"/>
    </bk>
    <bk>
      <rc t="2" v="2140"/>
    </bk>
    <bk>
      <rc t="2" v="2141"/>
    </bk>
    <bk>
      <rc t="2" v="2142"/>
    </bk>
    <bk>
      <rc t="2" v="2143"/>
    </bk>
    <bk>
      <rc t="2" v="2144"/>
    </bk>
    <bk>
      <rc t="2" v="2145"/>
    </bk>
    <bk>
      <rc t="2" v="2146"/>
    </bk>
    <bk>
      <rc t="2" v="2147"/>
    </bk>
    <bk>
      <rc t="2" v="2148"/>
    </bk>
    <bk>
      <rc t="2" v="2149"/>
    </bk>
    <bk>
      <rc t="2" v="2150"/>
    </bk>
    <bk>
      <rc t="2" v="2151"/>
    </bk>
    <bk>
      <rc t="2" v="2152"/>
    </bk>
    <bk>
      <rc t="2" v="2153"/>
    </bk>
    <bk>
      <rc t="2" v="2154"/>
    </bk>
    <bk>
      <rc t="2" v="2155"/>
    </bk>
    <bk>
      <rc t="2" v="2156"/>
    </bk>
    <bk>
      <rc t="2" v="2157"/>
    </bk>
    <bk>
      <rc t="2" v="2158"/>
    </bk>
    <bk>
      <rc t="2" v="2159"/>
    </bk>
    <bk>
      <rc t="2" v="2160"/>
    </bk>
    <bk>
      <rc t="2" v="2161"/>
    </bk>
    <bk>
      <rc t="2" v="2162"/>
    </bk>
    <bk>
      <rc t="2" v="2163"/>
    </bk>
    <bk>
      <rc t="2" v="2164"/>
    </bk>
    <bk>
      <rc t="2" v="2165"/>
    </bk>
    <bk>
      <rc t="2" v="2166"/>
    </bk>
    <bk>
      <rc t="2" v="2167"/>
    </bk>
    <bk>
      <rc t="2" v="2168"/>
    </bk>
    <bk>
      <rc t="2" v="2169"/>
    </bk>
    <bk>
      <rc t="2" v="2170"/>
    </bk>
    <bk>
      <rc t="2" v="2171"/>
    </bk>
    <bk>
      <rc t="2" v="2172"/>
    </bk>
    <bk>
      <rc t="2" v="2173"/>
    </bk>
    <bk>
      <rc t="2" v="2174"/>
    </bk>
    <bk>
      <rc t="2" v="2175"/>
    </bk>
    <bk>
      <rc t="2" v="2176"/>
    </bk>
    <bk>
      <rc t="2" v="2177"/>
    </bk>
    <bk>
      <rc t="2" v="2178"/>
    </bk>
    <bk>
      <rc t="2" v="2179"/>
    </bk>
    <bk>
      <rc t="2" v="2180"/>
    </bk>
    <bk>
      <rc t="2" v="2181"/>
    </bk>
    <bk>
      <rc t="2" v="2182"/>
    </bk>
    <bk>
      <rc t="2" v="2183"/>
    </bk>
    <bk>
      <rc t="2" v="2184"/>
    </bk>
    <bk>
      <rc t="2" v="2185"/>
    </bk>
    <bk>
      <rc t="2" v="2186"/>
    </bk>
    <bk>
      <rc t="2" v="2187"/>
    </bk>
    <bk>
      <rc t="2" v="2188"/>
    </bk>
    <bk>
      <rc t="2" v="2189"/>
    </bk>
    <bk>
      <rc t="2" v="2190"/>
    </bk>
    <bk>
      <rc t="2" v="2191"/>
    </bk>
    <bk>
      <rc t="2" v="2192"/>
    </bk>
    <bk>
      <rc t="2" v="2193"/>
    </bk>
    <bk>
      <rc t="2" v="2194"/>
    </bk>
    <bk>
      <rc t="2" v="2195"/>
    </bk>
    <bk>
      <rc t="2" v="2196"/>
    </bk>
    <bk>
      <rc t="2" v="2197"/>
    </bk>
    <bk>
      <rc t="2" v="2198"/>
    </bk>
    <bk>
      <rc t="2" v="2199"/>
    </bk>
    <bk>
      <rc t="2" v="2200"/>
    </bk>
    <bk>
      <rc t="2" v="2201"/>
    </bk>
    <bk>
      <rc t="2" v="2202"/>
    </bk>
    <bk>
      <rc t="2" v="2203"/>
    </bk>
    <bk>
      <rc t="2" v="2204"/>
    </bk>
    <bk>
      <rc t="2" v="2205"/>
    </bk>
    <bk>
      <rc t="2" v="2206"/>
    </bk>
    <bk>
      <rc t="2" v="2207"/>
    </bk>
    <bk>
      <rc t="2" v="2208"/>
    </bk>
    <bk>
      <rc t="2" v="2209"/>
    </bk>
    <bk>
      <rc t="2" v="2210"/>
    </bk>
    <bk>
      <rc t="2" v="2211"/>
    </bk>
    <bk>
      <rc t="2" v="2212"/>
    </bk>
    <bk>
      <rc t="2" v="2213"/>
    </bk>
    <bk>
      <rc t="2" v="2214"/>
    </bk>
    <bk>
      <rc t="2" v="2215"/>
    </bk>
    <bk>
      <rc t="2" v="2216"/>
    </bk>
    <bk>
      <rc t="2" v="2217"/>
    </bk>
    <bk>
      <rc t="2" v="2218"/>
    </bk>
    <bk>
      <rc t="2" v="2219"/>
    </bk>
    <bk>
      <rc t="2" v="2220"/>
    </bk>
    <bk>
      <rc t="2" v="2221"/>
    </bk>
    <bk>
      <rc t="2" v="2222"/>
    </bk>
    <bk>
      <rc t="2" v="2223"/>
    </bk>
    <bk>
      <rc t="2" v="2224"/>
    </bk>
    <bk>
      <rc t="2" v="2225"/>
    </bk>
    <bk>
      <rc t="2" v="2226"/>
    </bk>
    <bk>
      <rc t="2" v="2227"/>
    </bk>
    <bk>
      <rc t="2" v="2228"/>
    </bk>
    <bk>
      <rc t="2" v="2229"/>
    </bk>
    <bk>
      <rc t="2" v="2230"/>
    </bk>
    <bk>
      <rc t="2" v="2231"/>
    </bk>
    <bk>
      <rc t="2" v="2232"/>
    </bk>
    <bk>
      <rc t="2" v="2233"/>
    </bk>
    <bk>
      <rc t="2" v="2234"/>
    </bk>
    <bk>
      <rc t="2" v="2235"/>
    </bk>
    <bk>
      <rc t="2" v="2236"/>
    </bk>
    <bk>
      <rc t="2" v="2237"/>
    </bk>
    <bk>
      <rc t="2" v="2238"/>
    </bk>
    <bk>
      <rc t="2" v="2239"/>
    </bk>
    <bk>
      <rc t="2" v="2240"/>
    </bk>
    <bk>
      <rc t="2" v="2241"/>
    </bk>
    <bk>
      <rc t="2" v="2242"/>
    </bk>
    <bk>
      <rc t="2" v="2243"/>
    </bk>
    <bk>
      <rc t="2" v="2244"/>
    </bk>
    <bk>
      <rc t="2" v="2245"/>
    </bk>
    <bk>
      <rc t="2" v="2246"/>
    </bk>
    <bk>
      <rc t="2" v="2247"/>
    </bk>
    <bk>
      <rc t="2" v="2248"/>
    </bk>
    <bk>
      <rc t="2" v="2249"/>
    </bk>
    <bk>
      <rc t="2" v="2250"/>
    </bk>
    <bk>
      <rc t="2" v="2251"/>
    </bk>
    <bk>
      <rc t="2" v="2252"/>
    </bk>
    <bk>
      <rc t="2" v="2253"/>
    </bk>
    <bk>
      <rc t="2" v="2254"/>
    </bk>
    <bk>
      <rc t="2" v="2255"/>
    </bk>
    <bk>
      <rc t="2" v="2256"/>
    </bk>
    <bk>
      <rc t="2" v="2257"/>
    </bk>
    <bk>
      <rc t="2" v="2258"/>
    </bk>
    <bk>
      <rc t="2" v="2259"/>
    </bk>
    <bk>
      <rc t="2" v="2260"/>
    </bk>
    <bk>
      <rc t="2" v="2261"/>
    </bk>
    <bk>
      <rc t="2" v="2262"/>
    </bk>
    <bk>
      <rc t="2" v="2263"/>
    </bk>
    <bk>
      <rc t="2" v="2264"/>
    </bk>
    <bk>
      <rc t="2" v="2265"/>
    </bk>
    <bk>
      <rc t="2" v="2266"/>
    </bk>
    <bk>
      <rc t="2" v="2267"/>
    </bk>
    <bk>
      <rc t="2" v="2268"/>
    </bk>
    <bk>
      <rc t="2" v="2269"/>
    </bk>
    <bk>
      <rc t="2" v="2270"/>
    </bk>
    <bk>
      <rc t="2" v="2271"/>
    </bk>
    <bk>
      <rc t="2" v="2272"/>
    </bk>
    <bk>
      <rc t="2" v="2273"/>
    </bk>
    <bk>
      <rc t="2" v="2274"/>
    </bk>
    <bk>
      <rc t="2" v="2275"/>
    </bk>
    <bk>
      <rc t="2" v="2276"/>
    </bk>
    <bk>
      <rc t="2" v="2277"/>
    </bk>
    <bk>
      <rc t="2" v="2278"/>
    </bk>
    <bk>
      <rc t="2" v="2279"/>
    </bk>
    <bk>
      <rc t="2" v="2280"/>
    </bk>
    <bk>
      <rc t="2" v="2281"/>
    </bk>
    <bk>
      <rc t="2" v="2282"/>
    </bk>
    <bk>
      <rc t="2" v="2283"/>
    </bk>
    <bk>
      <rc t="2" v="2284"/>
    </bk>
    <bk>
      <rc t="2" v="2285"/>
    </bk>
    <bk>
      <rc t="2" v="2286"/>
    </bk>
    <bk>
      <rc t="2" v="2287"/>
    </bk>
    <bk>
      <rc t="2" v="2288"/>
    </bk>
    <bk>
      <rc t="2" v="2289"/>
    </bk>
    <bk>
      <rc t="2" v="2290"/>
    </bk>
    <bk>
      <rc t="2" v="2291"/>
    </bk>
    <bk>
      <rc t="2" v="2292"/>
    </bk>
    <bk>
      <rc t="2" v="2293"/>
    </bk>
    <bk>
      <rc t="2" v="2294"/>
    </bk>
    <bk>
      <rc t="2" v="2295"/>
    </bk>
    <bk>
      <rc t="2" v="2296"/>
    </bk>
    <bk>
      <rc t="2" v="2297"/>
    </bk>
    <bk>
      <rc t="2" v="2298"/>
    </bk>
    <bk>
      <rc t="2" v="2299"/>
    </bk>
    <bk>
      <rc t="2" v="2300"/>
    </bk>
    <bk>
      <rc t="2" v="2301"/>
    </bk>
    <bk>
      <rc t="2" v="2302"/>
    </bk>
    <bk>
      <rc t="2" v="2303"/>
    </bk>
    <bk>
      <rc t="2" v="2304"/>
    </bk>
    <bk>
      <rc t="2" v="2305"/>
    </bk>
    <bk>
      <rc t="2" v="2306"/>
    </bk>
    <bk>
      <rc t="2" v="2307"/>
    </bk>
    <bk>
      <rc t="2" v="2308"/>
    </bk>
    <bk>
      <rc t="2" v="2309"/>
    </bk>
    <bk>
      <rc t="2" v="2310"/>
    </bk>
    <bk>
      <rc t="2" v="2311"/>
    </bk>
    <bk>
      <rc t="2" v="2312"/>
    </bk>
    <bk>
      <rc t="2" v="2313"/>
    </bk>
    <bk>
      <rc t="2" v="2314"/>
    </bk>
    <bk>
      <rc t="2" v="2315"/>
    </bk>
    <bk>
      <rc t="2" v="2316"/>
    </bk>
    <bk>
      <rc t="2" v="2317"/>
    </bk>
    <bk>
      <rc t="2" v="2318"/>
    </bk>
    <bk>
      <rc t="2" v="2319"/>
    </bk>
    <bk>
      <rc t="2" v="2320"/>
    </bk>
    <bk>
      <rc t="2" v="2321"/>
    </bk>
    <bk>
      <rc t="2" v="2322"/>
    </bk>
    <bk>
      <rc t="2" v="2323"/>
    </bk>
    <bk>
      <rc t="2" v="2324"/>
    </bk>
    <bk>
      <rc t="2" v="2325"/>
    </bk>
    <bk>
      <rc t="2" v="2326"/>
    </bk>
    <bk>
      <rc t="2" v="2327"/>
    </bk>
    <bk>
      <rc t="2" v="2328"/>
    </bk>
    <bk>
      <rc t="2" v="2329"/>
    </bk>
    <bk>
      <rc t="2" v="2330"/>
    </bk>
    <bk>
      <rc t="2" v="2331"/>
    </bk>
    <bk>
      <rc t="2" v="2332"/>
    </bk>
    <bk>
      <rc t="2" v="2333"/>
    </bk>
    <bk>
      <rc t="2" v="2334"/>
    </bk>
    <bk>
      <rc t="2" v="2335"/>
    </bk>
    <bk>
      <rc t="2" v="2336"/>
    </bk>
    <bk>
      <rc t="2" v="2337"/>
    </bk>
    <bk>
      <rc t="2" v="2338"/>
    </bk>
    <bk>
      <rc t="2" v="2339"/>
    </bk>
    <bk>
      <rc t="2" v="2340"/>
    </bk>
    <bk>
      <rc t="2" v="2341"/>
    </bk>
    <bk>
      <rc t="2" v="2342"/>
    </bk>
    <bk>
      <rc t="2" v="2343"/>
    </bk>
    <bk>
      <rc t="2" v="2344"/>
    </bk>
    <bk>
      <rc t="2" v="2345"/>
    </bk>
    <bk>
      <rc t="2" v="2346"/>
    </bk>
    <bk>
      <rc t="2" v="2347"/>
    </bk>
    <bk>
      <rc t="2" v="2348"/>
    </bk>
    <bk>
      <rc t="2" v="2349"/>
    </bk>
    <bk>
      <rc t="2" v="2350"/>
    </bk>
    <bk>
      <rc t="2" v="2351"/>
    </bk>
    <bk>
      <rc t="2" v="2352"/>
    </bk>
    <bk>
      <rc t="2" v="2353"/>
    </bk>
    <bk>
      <rc t="2" v="2354"/>
    </bk>
    <bk>
      <rc t="2" v="2355"/>
    </bk>
    <bk>
      <rc t="2" v="2356"/>
    </bk>
    <bk>
      <rc t="2" v="2357"/>
    </bk>
    <bk>
      <rc t="2" v="2358"/>
    </bk>
    <bk>
      <rc t="2" v="2359"/>
    </bk>
    <bk>
      <rc t="2" v="2360"/>
    </bk>
    <bk>
      <rc t="2" v="2361"/>
    </bk>
    <bk>
      <rc t="2" v="2362"/>
    </bk>
    <bk>
      <rc t="2" v="2363"/>
    </bk>
    <bk>
      <rc t="2" v="2364"/>
    </bk>
    <bk>
      <rc t="2" v="2365"/>
    </bk>
    <bk>
      <rc t="2" v="2366"/>
    </bk>
    <bk>
      <rc t="2" v="2367"/>
    </bk>
    <bk>
      <rc t="2" v="2368"/>
    </bk>
    <bk>
      <rc t="2" v="2369"/>
    </bk>
    <bk>
      <rc t="2" v="2370"/>
    </bk>
    <bk>
      <rc t="2" v="2371"/>
    </bk>
    <bk>
      <rc t="2" v="2372"/>
    </bk>
    <bk>
      <rc t="2" v="2373"/>
    </bk>
    <bk>
      <rc t="2" v="2374"/>
    </bk>
    <bk>
      <rc t="2" v="2375"/>
    </bk>
    <bk>
      <rc t="2" v="2376"/>
    </bk>
    <bk>
      <rc t="2" v="2377"/>
    </bk>
    <bk>
      <rc t="2" v="2378"/>
    </bk>
    <bk>
      <rc t="2" v="2379"/>
    </bk>
    <bk>
      <rc t="2" v="2380"/>
    </bk>
    <bk>
      <rc t="2" v="2381"/>
    </bk>
    <bk>
      <rc t="2" v="2382"/>
    </bk>
    <bk>
      <rc t="2" v="2383"/>
    </bk>
    <bk>
      <rc t="2" v="2384"/>
    </bk>
    <bk>
      <rc t="2" v="2385"/>
    </bk>
    <bk>
      <rc t="2" v="2386"/>
    </bk>
    <bk>
      <rc t="2" v="2387"/>
    </bk>
    <bk>
      <rc t="2" v="2388"/>
    </bk>
    <bk>
      <rc t="2" v="2389"/>
    </bk>
    <bk>
      <rc t="2" v="2390"/>
    </bk>
    <bk>
      <rc t="2" v="2391"/>
    </bk>
    <bk>
      <rc t="2" v="2392"/>
    </bk>
    <bk>
      <rc t="2" v="2393"/>
    </bk>
    <bk>
      <rc t="2" v="2394"/>
    </bk>
    <bk>
      <rc t="2" v="2395"/>
    </bk>
    <bk>
      <rc t="2" v="2396"/>
    </bk>
    <bk>
      <rc t="2" v="2397"/>
    </bk>
    <bk>
      <rc t="2" v="2398"/>
    </bk>
    <bk>
      <rc t="2" v="2399"/>
    </bk>
    <bk>
      <rc t="2" v="2400"/>
    </bk>
    <bk>
      <rc t="2" v="2401"/>
    </bk>
    <bk>
      <rc t="2" v="2402"/>
    </bk>
    <bk>
      <rc t="2" v="2403"/>
    </bk>
    <bk>
      <rc t="2" v="2404"/>
    </bk>
    <bk>
      <rc t="2" v="2405"/>
    </bk>
    <bk>
      <rc t="2" v="2406"/>
    </bk>
    <bk>
      <rc t="2" v="2407"/>
    </bk>
    <bk>
      <rc t="2" v="2408"/>
    </bk>
    <bk>
      <rc t="2" v="2409"/>
    </bk>
    <bk>
      <rc t="2" v="2410"/>
    </bk>
    <bk>
      <rc t="2" v="2411"/>
    </bk>
    <bk>
      <rc t="2" v="2412"/>
    </bk>
    <bk>
      <rc t="2" v="2413"/>
    </bk>
    <bk>
      <rc t="2" v="2414"/>
    </bk>
    <bk>
      <rc t="2" v="2415"/>
    </bk>
    <bk>
      <rc t="2" v="2416"/>
    </bk>
    <bk>
      <rc t="2" v="2417"/>
    </bk>
    <bk>
      <rc t="2" v="2418"/>
    </bk>
    <bk>
      <rc t="2" v="2419"/>
    </bk>
    <bk>
      <rc t="2" v="2420"/>
    </bk>
    <bk>
      <rc t="2" v="2421"/>
    </bk>
    <bk>
      <rc t="2" v="2422"/>
    </bk>
    <bk>
      <rc t="2" v="2423"/>
    </bk>
    <bk>
      <rc t="2" v="2424"/>
    </bk>
    <bk>
      <rc t="2" v="2425"/>
    </bk>
    <bk>
      <rc t="2" v="2426"/>
    </bk>
    <bk>
      <rc t="2" v="2427"/>
    </bk>
    <bk>
      <rc t="2" v="2428"/>
    </bk>
    <bk>
      <rc t="2" v="2429"/>
    </bk>
    <bk>
      <rc t="2" v="2430"/>
    </bk>
    <bk>
      <rc t="2" v="2431"/>
    </bk>
    <bk>
      <rc t="2" v="2432"/>
    </bk>
    <bk>
      <rc t="2" v="2433"/>
    </bk>
    <bk>
      <rc t="2" v="2434"/>
    </bk>
    <bk>
      <rc t="2" v="2435"/>
    </bk>
    <bk>
      <rc t="2" v="2436"/>
    </bk>
    <bk>
      <rc t="2" v="2437"/>
    </bk>
    <bk>
      <rc t="2" v="2438"/>
    </bk>
    <bk>
      <rc t="2" v="2439"/>
    </bk>
    <bk>
      <rc t="2" v="2440"/>
    </bk>
    <bk>
      <rc t="2" v="2441"/>
    </bk>
    <bk>
      <rc t="2" v="2442"/>
    </bk>
    <bk>
      <rc t="2" v="2443"/>
    </bk>
    <bk>
      <rc t="2" v="2444"/>
    </bk>
    <bk>
      <rc t="2" v="2445"/>
    </bk>
    <bk>
      <rc t="2" v="2446"/>
    </bk>
    <bk>
      <rc t="2" v="2447"/>
    </bk>
    <bk>
      <rc t="2" v="2448"/>
    </bk>
    <bk>
      <rc t="2" v="2449"/>
    </bk>
    <bk>
      <rc t="2" v="2450"/>
    </bk>
    <bk>
      <rc t="2" v="2451"/>
    </bk>
    <bk>
      <rc t="2" v="2452"/>
    </bk>
    <bk>
      <rc t="2" v="2453"/>
    </bk>
    <bk>
      <rc t="2" v="2454"/>
    </bk>
    <bk>
      <rc t="2" v="2455"/>
    </bk>
    <bk>
      <rc t="2" v="2456"/>
    </bk>
    <bk>
      <rc t="2" v="2457"/>
    </bk>
    <bk>
      <rc t="2" v="2458"/>
    </bk>
    <bk>
      <rc t="2" v="2459"/>
    </bk>
    <bk>
      <rc t="2" v="2460"/>
    </bk>
    <bk>
      <rc t="2" v="2461"/>
    </bk>
    <bk>
      <rc t="2" v="2462"/>
    </bk>
    <bk>
      <rc t="2" v="2463"/>
    </bk>
    <bk>
      <rc t="2" v="2464"/>
    </bk>
    <bk>
      <rc t="2" v="2465"/>
    </bk>
    <bk>
      <rc t="2" v="2466"/>
    </bk>
    <bk>
      <rc t="2" v="2467"/>
    </bk>
    <bk>
      <rc t="2" v="2468"/>
    </bk>
    <bk>
      <rc t="2" v="2469"/>
    </bk>
    <bk>
      <rc t="2" v="2470"/>
    </bk>
    <bk>
      <rc t="2" v="2471"/>
    </bk>
    <bk>
      <rc t="2" v="2472"/>
    </bk>
    <bk>
      <rc t="2" v="2473"/>
    </bk>
    <bk>
      <rc t="2" v="2474"/>
    </bk>
    <bk>
      <rc t="2" v="2475"/>
    </bk>
    <bk>
      <rc t="2" v="2476"/>
    </bk>
    <bk>
      <rc t="2" v="2477"/>
    </bk>
    <bk>
      <rc t="2" v="2478"/>
    </bk>
    <bk>
      <rc t="2" v="2479"/>
    </bk>
    <bk>
      <rc t="2" v="2480"/>
    </bk>
    <bk>
      <rc t="2" v="2481"/>
    </bk>
    <bk>
      <rc t="2" v="2482"/>
    </bk>
    <bk>
      <rc t="2" v="2483"/>
    </bk>
    <bk>
      <rc t="2" v="2484"/>
    </bk>
    <bk>
      <rc t="2" v="2485"/>
    </bk>
    <bk>
      <rc t="2" v="2486"/>
    </bk>
    <bk>
      <rc t="2" v="2487"/>
    </bk>
    <bk>
      <rc t="2" v="2488"/>
    </bk>
    <bk>
      <rc t="2" v="2489"/>
    </bk>
    <bk>
      <rc t="2" v="2490"/>
    </bk>
    <bk>
      <rc t="2" v="2491"/>
    </bk>
    <bk>
      <rc t="2" v="2492"/>
    </bk>
    <bk>
      <rc t="2" v="2493"/>
    </bk>
    <bk>
      <rc t="2" v="2494"/>
    </bk>
    <bk>
      <rc t="2" v="2495"/>
    </bk>
    <bk>
      <rc t="2" v="2496"/>
    </bk>
    <bk>
      <rc t="2" v="2497"/>
    </bk>
    <bk>
      <rc t="2" v="2498"/>
    </bk>
    <bk>
      <rc t="2" v="2499"/>
    </bk>
    <bk>
      <rc t="2" v="2500"/>
    </bk>
    <bk>
      <rc t="2" v="2501"/>
    </bk>
    <bk>
      <rc t="2" v="2502"/>
    </bk>
    <bk>
      <rc t="2" v="2503"/>
    </bk>
    <bk>
      <rc t="2" v="2504"/>
    </bk>
    <bk>
      <rc t="2" v="2505"/>
    </bk>
    <bk>
      <rc t="2" v="2506"/>
    </bk>
    <bk>
      <rc t="2" v="2507"/>
    </bk>
    <bk>
      <rc t="2" v="2508"/>
    </bk>
    <bk>
      <rc t="2" v="2509"/>
    </bk>
    <bk>
      <rc t="2" v="2510"/>
    </bk>
    <bk>
      <rc t="2" v="2511"/>
    </bk>
    <bk>
      <rc t="2" v="2512"/>
    </bk>
    <bk>
      <rc t="2" v="2513"/>
    </bk>
    <bk>
      <rc t="2" v="2514"/>
    </bk>
    <bk>
      <rc t="2" v="2515"/>
    </bk>
    <bk>
      <rc t="2" v="2516"/>
    </bk>
    <bk>
      <rc t="2" v="2517"/>
    </bk>
    <bk>
      <rc t="2" v="2518"/>
    </bk>
    <bk>
      <rc t="2" v="2519"/>
    </bk>
    <bk>
      <rc t="2" v="2520"/>
    </bk>
    <bk>
      <rc t="2" v="2521"/>
    </bk>
    <bk>
      <rc t="2" v="2522"/>
    </bk>
    <bk>
      <rc t="2" v="2523"/>
    </bk>
    <bk>
      <rc t="2" v="2524"/>
    </bk>
    <bk>
      <rc t="2" v="2525"/>
    </bk>
    <bk>
      <rc t="2" v="2526"/>
    </bk>
    <bk>
      <rc t="2" v="2527"/>
    </bk>
    <bk>
      <rc t="2" v="2528"/>
    </bk>
    <bk>
      <rc t="2" v="2529"/>
    </bk>
    <bk>
      <rc t="2" v="2530"/>
    </bk>
    <bk>
      <rc t="2" v="2531"/>
    </bk>
    <bk>
      <rc t="2" v="2532"/>
    </bk>
    <bk>
      <rc t="2" v="2533"/>
    </bk>
  </valueMetadata>
</metadata>
</file>

<file path=xl/sharedStrings.xml><?xml version="1.0" encoding="utf-8"?>
<sst xmlns="http://schemas.openxmlformats.org/spreadsheetml/2006/main" count="83" uniqueCount="58">
  <si>
    <t>Personal Stock Dashboard</t>
  </si>
  <si>
    <t>Current Holdings</t>
  </si>
  <si>
    <t>Stock Exchange Ticker</t>
  </si>
  <si>
    <t>Qty.</t>
  </si>
  <si>
    <t>Avg. cost</t>
  </si>
  <si>
    <t>LTP</t>
  </si>
  <si>
    <t>Cur. val</t>
  </si>
  <si>
    <t>P&amp;L</t>
  </si>
  <si>
    <t>Net chg.</t>
  </si>
  <si>
    <t>Day chg.</t>
  </si>
  <si>
    <t>ABB</t>
  </si>
  <si>
    <t>BAJAJ-AUTO</t>
  </si>
  <si>
    <t>CONCOR</t>
  </si>
  <si>
    <t>CUMMINSIND</t>
  </si>
  <si>
    <t>DABUR</t>
  </si>
  <si>
    <t>GNFC</t>
  </si>
  <si>
    <t>HINDUNILVR</t>
  </si>
  <si>
    <t>JUBLFOOD</t>
  </si>
  <si>
    <t>LT</t>
  </si>
  <si>
    <t>PIDILITIND</t>
  </si>
  <si>
    <t>POLYPLEX</t>
  </si>
  <si>
    <t>RELIANCE</t>
  </si>
  <si>
    <t>SBILIFE</t>
  </si>
  <si>
    <t>SBIN</t>
  </si>
  <si>
    <t>SIEMENS</t>
  </si>
  <si>
    <t>WHIRLPOOL</t>
  </si>
  <si>
    <t>YESBANK</t>
  </si>
  <si>
    <t>Stock Name</t>
  </si>
  <si>
    <t>buy</t>
  </si>
  <si>
    <t>Price</t>
  </si>
  <si>
    <t>Quantity</t>
  </si>
  <si>
    <t>Type</t>
  </si>
  <si>
    <t>StockTicker</t>
  </si>
  <si>
    <t>Column1</t>
  </si>
  <si>
    <t>Industry</t>
  </si>
  <si>
    <t>Bought Price</t>
  </si>
  <si>
    <t>Bought value</t>
  </si>
  <si>
    <t>Value of investment as on yesterday</t>
  </si>
  <si>
    <t>Gain or Loss</t>
  </si>
  <si>
    <t>Price Yesterday</t>
  </si>
  <si>
    <t>Gain or Loss in %</t>
  </si>
  <si>
    <t>last 12 months chart</t>
  </si>
  <si>
    <t>Total market value of holding</t>
  </si>
  <si>
    <t>unrealised gain/loss</t>
  </si>
  <si>
    <t>Portfolio by Industry</t>
  </si>
  <si>
    <t>Market value of holding</t>
  </si>
  <si>
    <t>Watch List</t>
  </si>
  <si>
    <t>Stock</t>
  </si>
  <si>
    <t>Ticker symbol</t>
  </si>
  <si>
    <t>52 week high</t>
  </si>
  <si>
    <t>52 week low</t>
  </si>
  <si>
    <t>P/E</t>
  </si>
  <si>
    <t>Change</t>
  </si>
  <si>
    <t>(All)</t>
  </si>
  <si>
    <t>XNSE</t>
  </si>
  <si>
    <t>Stock Exchange</t>
  </si>
  <si>
    <t>LARSEN AND TOUBRO LIMITED (XNSE:LT)</t>
  </si>
  <si>
    <t>DABUR INDIA LIMITED (XNSE:DABUR)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</si>
</sst>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 &quot;₹&quot;\ * #,##0.00_ ;_ &quot;₹&quot;\ * \-#,##0.00_ ;_ &quot;₹&quot;\ * &quot;-&quot;??_ ;_ @_ "/>
    <numFmt numFmtId="164" formatCode="_ [$₹-4009]\ * #,##0.00_ ;_ [$₹-4009]\ * \-#,##0.00_ ;_ [$₹-4009]\ * &quot;-&quot;??_ ;_ @_ "/>
    <numFmt numFmtId="165" formatCode="0.00;[Red]0.00"/>
    <numFmt numFmtId="166" formatCode="&quot;₹&quot;\ #,##0.00;[Red]&quot;₹&quot;\ #,##0.00"/>
    <numFmt numFmtId="167" formatCode="&quot;₹&quot;\ #,##0.00"/>
  </numFmts>
  <fonts count="6" x14ac:knownFonts="1">
    <font>
      <sz val="11"/>
      <color theme="1"/>
      <name val="Calibri"/>
      <family val="2"/>
      <scheme val="minor"/>
    </font>
    <font>
      <sz val="11"/>
      <color theme="0"/>
      <name val="Calibri"/>
      <family val="2"/>
      <scheme val="minor"/>
    </font>
    <font>
      <sz val="20"/>
      <color theme="0"/>
      <name val="Calibri"/>
      <family val="2"/>
      <scheme val="minor"/>
    </font>
    <font>
      <sz val="11"/>
      <name val="Calibri"/>
      <family val="2"/>
      <scheme val="minor"/>
    </font>
    <font>
      <sz val="11"/>
      <color theme="1"/>
      <name val="Assistant Light"/>
      <charset val="177"/>
    </font>
    <font>
      <sz val="14"/>
      <color theme="0"/>
      <name val="Calibri"/>
      <family val="2"/>
      <scheme val="minor"/>
    </font>
  </fonts>
  <fills count="4">
    <fill>
      <patternFill patternType="none"/>
    </fill>
    <fill>
      <patternFill patternType="gray125"/>
    </fill>
    <fill>
      <patternFill patternType="solid">
        <fgColor theme="4" tint="0.79998168889431442"/>
        <bgColor theme="4" tint="0.79998168889431442"/>
      </patternFill>
    </fill>
    <fill>
      <patternFill patternType="solid">
        <fgColor rgb="FF002060"/>
        <bgColor indexed="64"/>
      </patternFill>
    </fill>
  </fills>
  <borders count="4">
    <border>
      <left/>
      <right/>
      <top/>
      <bottom/>
      <diagonal/>
    </border>
    <border>
      <left style="thin">
        <color theme="4" tint="0.39997558519241921"/>
      </left>
      <right style="thin">
        <color theme="4" tint="0.39997558519241921"/>
      </right>
      <top style="thin">
        <color theme="4" tint="0.39997558519241921"/>
      </top>
      <bottom/>
      <diagonal/>
    </border>
    <border>
      <left style="thin">
        <color theme="4" tint="0.39997558519241921"/>
      </left>
      <right style="thin">
        <color theme="4" tint="0.39997558519241921"/>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s>
  <cellStyleXfs count="1">
    <xf numFmtId="0" fontId="0" fillId="0" borderId="0"/>
  </cellStyleXfs>
  <cellXfs count="22">
    <xf numFmtId="0" fontId="0" fillId="0" borderId="0" xfId="0"/>
    <xf numFmtId="0" fontId="0" fillId="2" borderId="1" xfId="0" applyFill="1" applyBorder="1"/>
    <xf numFmtId="0" fontId="0" fillId="0" borderId="1" xfId="0" applyBorder="1"/>
    <xf numFmtId="0" fontId="0" fillId="2" borderId="2" xfId="0" applyFill="1" applyBorder="1"/>
    <xf numFmtId="0" fontId="0" fillId="2" borderId="3" xfId="0" applyFill="1" applyBorder="1"/>
    <xf numFmtId="164" fontId="0" fillId="0" borderId="0" xfId="0" applyNumberFormat="1"/>
    <xf numFmtId="1" fontId="0" fillId="0" borderId="0" xfId="0" applyNumberFormat="1"/>
    <xf numFmtId="0" fontId="0" fillId="0" borderId="0" xfId="0" applyAlignment="1">
      <alignment wrapText="1"/>
    </xf>
    <xf numFmtId="44" fontId="0" fillId="0" borderId="0" xfId="0" applyNumberFormat="1"/>
    <xf numFmtId="0" fontId="2" fillId="3" borderId="0" xfId="0" applyFont="1" applyFill="1"/>
    <xf numFmtId="0" fontId="1" fillId="3" borderId="0" xfId="0" applyFont="1" applyFill="1"/>
    <xf numFmtId="44" fontId="1" fillId="3" borderId="0" xfId="0" applyNumberFormat="1" applyFont="1" applyFill="1"/>
    <xf numFmtId="165" fontId="1" fillId="3" borderId="0" xfId="0" applyNumberFormat="1" applyFont="1" applyFill="1"/>
    <xf numFmtId="166" fontId="0" fillId="0" borderId="0" xfId="0" applyNumberFormat="1"/>
    <xf numFmtId="9" fontId="0" fillId="0" borderId="0" xfId="0" applyNumberFormat="1"/>
    <xf numFmtId="44" fontId="3" fillId="0" borderId="0" xfId="0" applyNumberFormat="1" applyFont="1"/>
    <xf numFmtId="167" fontId="1" fillId="3" borderId="0" xfId="0" applyNumberFormat="1" applyFont="1" applyFill="1"/>
    <xf numFmtId="164" fontId="1" fillId="3" borderId="0" xfId="0" applyNumberFormat="1" applyFont="1" applyFill="1"/>
    <xf numFmtId="0" fontId="3" fillId="0" borderId="0" xfId="0" applyFont="1"/>
    <xf numFmtId="0" fontId="4" fillId="0" borderId="0" xfId="0" applyFont="1"/>
    <xf numFmtId="0" fontId="5" fillId="3" borderId="0" xfId="0" applyFont="1" applyFill="1"/>
    <xf numFmtId="0" fontId="0" fillId="0" borderId="0" xfId="0" pivotButton="1"/>
  </cellXfs>
  <cellStyles count="1">
    <cellStyle name="Normal" xfId="0" builtinId="0"/>
  </cellStyles>
  <dxfs count="12">
    <dxf>
      <numFmt numFmtId="164" formatCode="_ [$₹-4009]\ * #,##0.00_ ;_ [$₹-4009]\ * \-#,##0.00_ ;_ [$₹-4009]\ * &quot;-&quot;??_ ;_ @_ "/>
    </dxf>
    <dxf>
      <numFmt numFmtId="1" formatCode="0"/>
      <alignment horizontal="left" vertical="bottom" textRotation="0" wrapText="0" indent="0" justifyLastLine="0" shrinkToFit="0" readingOrder="0"/>
      <border diagonalUp="0" diagonalDown="0" outline="0">
        <left/>
        <right style="thin">
          <color theme="4" tint="0.39997558519241921"/>
        </right>
        <top style="thin">
          <color theme="4" tint="0.39997558519241921"/>
        </top>
        <bottom style="thin">
          <color theme="4" tint="0.39997558519241921"/>
        </bottom>
      </border>
    </dxf>
    <dxf>
      <numFmt numFmtId="1" formatCode="0"/>
      <alignment horizontal="left" vertical="bottom" textRotation="0" wrapText="0" indent="0" justifyLastLine="0" shrinkToFit="0" readingOrder="0"/>
      <border diagonalUp="0" diagonalDown="0" outline="0">
        <left/>
        <right/>
        <top style="thin">
          <color theme="4" tint="0.39997558519241921"/>
        </top>
        <bottom style="thin">
          <color theme="4" tint="0.39997558519241921"/>
        </bottom>
      </border>
    </dxf>
    <dxf>
      <border diagonalUp="0" diagonalDown="0">
        <left/>
        <right/>
        <top style="thin">
          <color theme="4" tint="0.39997558519241921"/>
        </top>
        <bottom style="thin">
          <color theme="4" tint="0.39997558519241921"/>
        </bottom>
        <vertical/>
        <horizontal/>
      </border>
    </dxf>
    <dxf>
      <border diagonalUp="0" diagonalDown="0">
        <left style="thin">
          <color theme="4" tint="0.39997558519241921"/>
        </left>
        <right/>
        <top style="thin">
          <color theme="4" tint="0.39997558519241921"/>
        </top>
        <bottom style="thin">
          <color theme="4" tint="0.39997558519241921"/>
        </bottom>
        <vertical/>
        <horizontal/>
      </border>
    </dxf>
    <dxf>
      <border outline="0">
        <bottom style="thin">
          <color theme="4" tint="0.39997558519241921"/>
        </bottom>
      </border>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microsoft.com/office/2017/06/relationships/rdRichValueStructure" Target="richData/rdrichvaluestructure.xml"/><Relationship Id="rId18" Type="http://schemas.microsoft.com/office/2017/06/relationships/rdRichValueTypes" Target="richData/rdRichValueType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microsoft.com/office/2017/06/relationships/rdRichValue" Target="richData/rdrichvalue.xml"/><Relationship Id="rId17" Type="http://schemas.microsoft.com/office/2017/06/relationships/rdSupportingPropertyBag" Target="richData/rdsupportingpropertybag.xml"/><Relationship Id="rId2" Type="http://schemas.openxmlformats.org/officeDocument/2006/relationships/worksheet" Target="worksheets/sheet2.xml"/><Relationship Id="rId16" Type="http://schemas.microsoft.com/office/2017/06/relationships/rdSupportingPropertyBagStructure" Target="richData/rdsupportingpropertybagstructur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5" Type="http://schemas.microsoft.com/office/2017/06/relationships/richStyles" Target="richData/richStyles.xml"/><Relationship Id="rId10" Type="http://schemas.openxmlformats.org/officeDocument/2006/relationships/sharedStrings" Target="sharedStrings.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tyles" Target="styles.xml"/><Relationship Id="rId14" Type="http://schemas.microsoft.com/office/2017/06/relationships/rdArray" Target="richData/rdarray.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Investment by Industry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3-9415-4198-B6B1-2FE075FCF63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D85-42E0-9427-9C06F696AEE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D85-42E0-9427-9C06F696AEE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3D85-42E0-9427-9C06F696AEE9}"/>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4-9415-4198-B6B1-2FE075FCF632}"/>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2-9415-4198-B6B1-2FE075FCF632}"/>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1-9415-4198-B6B1-2FE075FCF632}"/>
              </c:ext>
            </c:extLst>
          </c:dPt>
          <c:dLbls>
            <c:dLbl>
              <c:idx val="0"/>
              <c:layout>
                <c:manualLayout>
                  <c:x val="6.4890821574132507E-2"/>
                  <c:y val="-8.3441207673515469E-3"/>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9415-4198-B6B1-2FE075FCF632}"/>
                </c:ext>
              </c:extLst>
            </c:dLbl>
            <c:dLbl>
              <c:idx val="4"/>
              <c:layout>
                <c:manualLayout>
                  <c:x val="-7.0760971951676771E-2"/>
                  <c:y val="-6.8318036265244353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4-9415-4198-B6B1-2FE075FCF632}"/>
                </c:ext>
              </c:extLst>
            </c:dLbl>
            <c:dLbl>
              <c:idx val="5"/>
              <c:layout>
                <c:manualLayout>
                  <c:x val="-5.7790463692038496E-2"/>
                  <c:y val="-1.8591790609507147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9415-4198-B6B1-2FE075FCF632}"/>
                </c:ext>
              </c:extLst>
            </c:dLbl>
            <c:dLbl>
              <c:idx val="6"/>
              <c:layout>
                <c:manualLayout>
                  <c:x val="-3.8075459317585304E-2"/>
                  <c:y val="1.8593248760571595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9415-4198-B6B1-2FE075FCF63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Dashboard!$A$15:$A$21</c:f>
              <c:strCache>
                <c:ptCount val="7"/>
                <c:pt idx="0">
                  <c:v>Machinery, Equipment &amp; Components</c:v>
                </c:pt>
                <c:pt idx="1">
                  <c:v>Freight &amp; Logistics Services</c:v>
                </c:pt>
                <c:pt idx="2">
                  <c:v>Personal &amp; Household Products &amp; Services</c:v>
                </c:pt>
                <c:pt idx="3">
                  <c:v>Hotels &amp; Entertainment Services</c:v>
                </c:pt>
                <c:pt idx="4">
                  <c:v>Chemicals</c:v>
                </c:pt>
                <c:pt idx="5">
                  <c:v>Insurance</c:v>
                </c:pt>
                <c:pt idx="6">
                  <c:v>Household Goods</c:v>
                </c:pt>
              </c:strCache>
            </c:strRef>
          </c:cat>
          <c:val>
            <c:numRef>
              <c:f>Dashboard!$B$15:$B$21</c:f>
              <c:numCache>
                <c:formatCode>General</c:formatCode>
                <c:ptCount val="7"/>
                <c:pt idx="0">
                  <c:v>46975.5</c:v>
                </c:pt>
                <c:pt idx="1">
                  <c:v>22485.75</c:v>
                </c:pt>
                <c:pt idx="2">
                  <c:v>31852.199999999997</c:v>
                </c:pt>
                <c:pt idx="3">
                  <c:v>10401.300000000001</c:v>
                </c:pt>
                <c:pt idx="4">
                  <c:v>50089.700000000004</c:v>
                </c:pt>
                <c:pt idx="5">
                  <c:v>20424</c:v>
                </c:pt>
                <c:pt idx="6">
                  <c:v>52691.4</c:v>
                </c:pt>
              </c:numCache>
            </c:numRef>
          </c:val>
          <c:extLst>
            <c:ext xmlns:c16="http://schemas.microsoft.com/office/drawing/2014/chart" uri="{C3380CC4-5D6E-409C-BE32-E72D297353CC}">
              <c16:uniqueId val="{00000000-9415-4198-B6B1-2FE075FCF632}"/>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LT!$B$4</c:f>
          <c:strCache>
            <c:ptCount val="1"/>
            <c:pt idx="0">
              <c:v>LT</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LT!$B$6</c:f>
              <c:strCache>
                <c:ptCount val="1"/>
                <c:pt idx="0">
                  <c:v>Volume</c:v>
                </c:pt>
              </c:strCache>
            </c:strRef>
          </c:tx>
          <c:spPr>
            <a:solidFill>
              <a:schemeClr val="accent1"/>
            </a:solidFill>
            <a:ln w="19050">
              <a:noFill/>
            </a:ln>
            <a:effectLst/>
          </c:spPr>
          <c:invertIfNegative val="0"/>
          <c:cat>
            <c:numRef>
              <c:f>LT!$A$7:$A$25</c:f>
              <c:numCache>
                <c:formatCode>m/d/yyyy</c:formatCode>
                <c:ptCount val="19"/>
                <c:pt idx="0">
                  <c:v>45070</c:v>
                </c:pt>
                <c:pt idx="1">
                  <c:v>45071</c:v>
                </c:pt>
                <c:pt idx="2">
                  <c:v>45072</c:v>
                </c:pt>
                <c:pt idx="3">
                  <c:v>45075</c:v>
                </c:pt>
                <c:pt idx="4">
                  <c:v>45076</c:v>
                </c:pt>
                <c:pt idx="5">
                  <c:v>45077</c:v>
                </c:pt>
                <c:pt idx="6">
                  <c:v>45078</c:v>
                </c:pt>
                <c:pt idx="7">
                  <c:v>45079</c:v>
                </c:pt>
                <c:pt idx="8">
                  <c:v>45082</c:v>
                </c:pt>
                <c:pt idx="9">
                  <c:v>45083</c:v>
                </c:pt>
                <c:pt idx="10">
                  <c:v>45084</c:v>
                </c:pt>
                <c:pt idx="11">
                  <c:v>45085</c:v>
                </c:pt>
                <c:pt idx="12">
                  <c:v>45086</c:v>
                </c:pt>
                <c:pt idx="13">
                  <c:v>45089</c:v>
                </c:pt>
                <c:pt idx="14">
                  <c:v>45090</c:v>
                </c:pt>
                <c:pt idx="15">
                  <c:v>45091</c:v>
                </c:pt>
                <c:pt idx="16">
                  <c:v>45092</c:v>
                </c:pt>
                <c:pt idx="17">
                  <c:v>45093</c:v>
                </c:pt>
                <c:pt idx="18">
                  <c:v>45096</c:v>
                </c:pt>
              </c:numCache>
            </c:numRef>
          </c:cat>
          <c:val>
            <c:numRef>
              <c:f>LT!$B$7:$B$25</c:f>
              <c:numCache>
                <c:formatCode>#,##0</c:formatCode>
                <c:ptCount val="19"/>
                <c:pt idx="0">
                  <c:v>2648479</c:v>
                </c:pt>
                <c:pt idx="1">
                  <c:v>1689521</c:v>
                </c:pt>
                <c:pt idx="2">
                  <c:v>1249128</c:v>
                </c:pt>
                <c:pt idx="3">
                  <c:v>1369656</c:v>
                </c:pt>
                <c:pt idx="4">
                  <c:v>1716729</c:v>
                </c:pt>
                <c:pt idx="5">
                  <c:v>2809284</c:v>
                </c:pt>
                <c:pt idx="6">
                  <c:v>1049488</c:v>
                </c:pt>
                <c:pt idx="7">
                  <c:v>1399950</c:v>
                </c:pt>
                <c:pt idx="8">
                  <c:v>2344944</c:v>
                </c:pt>
                <c:pt idx="9">
                  <c:v>1677680</c:v>
                </c:pt>
                <c:pt idx="10">
                  <c:v>2128603</c:v>
                </c:pt>
                <c:pt idx="11">
                  <c:v>2556995</c:v>
                </c:pt>
                <c:pt idx="12">
                  <c:v>2501720</c:v>
                </c:pt>
                <c:pt idx="13">
                  <c:v>1172382</c:v>
                </c:pt>
                <c:pt idx="14">
                  <c:v>1688768</c:v>
                </c:pt>
                <c:pt idx="15">
                  <c:v>1013564</c:v>
                </c:pt>
                <c:pt idx="16">
                  <c:v>2561534</c:v>
                </c:pt>
                <c:pt idx="17">
                  <c:v>1794542</c:v>
                </c:pt>
                <c:pt idx="18">
                  <c:v>3111256</c:v>
                </c:pt>
              </c:numCache>
            </c:numRef>
          </c:val>
          <c:extLst>
            <c:ext xmlns:c16="http://schemas.microsoft.com/office/drawing/2014/chart" uri="{C3380CC4-5D6E-409C-BE32-E72D297353CC}">
              <c16:uniqueId val="{00000000-4AA3-4231-A774-429C7AB2B36D}"/>
            </c:ext>
          </c:extLst>
        </c:ser>
        <c:dLbls>
          <c:showLegendKey val="0"/>
          <c:showVal val="0"/>
          <c:showCatName val="0"/>
          <c:showSerName val="0"/>
          <c:showPercent val="0"/>
          <c:showBubbleSize val="0"/>
        </c:dLbls>
        <c:gapWidth val="150"/>
        <c:axId val="423954432"/>
        <c:axId val="965797104"/>
      </c:barChart>
      <c:stockChart>
        <c:ser>
          <c:idx val="1"/>
          <c:order val="1"/>
          <c:tx>
            <c:strRef>
              <c:f>LT!$C$6</c:f>
              <c:strCache>
                <c:ptCount val="1"/>
                <c:pt idx="0">
                  <c:v>Open</c:v>
                </c:pt>
              </c:strCache>
            </c:strRef>
          </c:tx>
          <c:spPr>
            <a:ln w="19050" cap="rnd">
              <a:noFill/>
              <a:round/>
            </a:ln>
            <a:effectLst/>
          </c:spPr>
          <c:marker>
            <c:symbol val="none"/>
          </c:marker>
          <c:cat>
            <c:numRef>
              <c:f>LT!$A$7:$A$25</c:f>
              <c:numCache>
                <c:formatCode>m/d/yyyy</c:formatCode>
                <c:ptCount val="19"/>
                <c:pt idx="0">
                  <c:v>45070</c:v>
                </c:pt>
                <c:pt idx="1">
                  <c:v>45071</c:v>
                </c:pt>
                <c:pt idx="2">
                  <c:v>45072</c:v>
                </c:pt>
                <c:pt idx="3">
                  <c:v>45075</c:v>
                </c:pt>
                <c:pt idx="4">
                  <c:v>45076</c:v>
                </c:pt>
                <c:pt idx="5">
                  <c:v>45077</c:v>
                </c:pt>
                <c:pt idx="6">
                  <c:v>45078</c:v>
                </c:pt>
                <c:pt idx="7">
                  <c:v>45079</c:v>
                </c:pt>
                <c:pt idx="8">
                  <c:v>45082</c:v>
                </c:pt>
                <c:pt idx="9">
                  <c:v>45083</c:v>
                </c:pt>
                <c:pt idx="10">
                  <c:v>45084</c:v>
                </c:pt>
                <c:pt idx="11">
                  <c:v>45085</c:v>
                </c:pt>
                <c:pt idx="12">
                  <c:v>45086</c:v>
                </c:pt>
                <c:pt idx="13">
                  <c:v>45089</c:v>
                </c:pt>
                <c:pt idx="14">
                  <c:v>45090</c:v>
                </c:pt>
                <c:pt idx="15">
                  <c:v>45091</c:v>
                </c:pt>
                <c:pt idx="16">
                  <c:v>45092</c:v>
                </c:pt>
                <c:pt idx="17">
                  <c:v>45093</c:v>
                </c:pt>
                <c:pt idx="18">
                  <c:v>45096</c:v>
                </c:pt>
              </c:numCache>
            </c:numRef>
          </c:cat>
          <c:val>
            <c:numRef>
              <c:f>LT!$C$7:$C$25</c:f>
              <c:numCache>
                <c:formatCode>_ [$₹-4009]\ * #,##0.00_ ;_ [$₹-4009]\ * \-#,##0.00_ ;_ [$₹-4009]\ * "-"??_ ;_ @_ </c:formatCode>
                <c:ptCount val="19"/>
                <c:pt idx="0">
                  <c:v>2200</c:v>
                </c:pt>
                <c:pt idx="1">
                  <c:v>2190</c:v>
                </c:pt>
                <c:pt idx="2">
                  <c:v>2209</c:v>
                </c:pt>
                <c:pt idx="3">
                  <c:v>2225</c:v>
                </c:pt>
                <c:pt idx="4">
                  <c:v>2230</c:v>
                </c:pt>
                <c:pt idx="5">
                  <c:v>2201.1</c:v>
                </c:pt>
                <c:pt idx="6">
                  <c:v>2217</c:v>
                </c:pt>
                <c:pt idx="7">
                  <c:v>2221</c:v>
                </c:pt>
                <c:pt idx="8">
                  <c:v>2245</c:v>
                </c:pt>
                <c:pt idx="9">
                  <c:v>2269</c:v>
                </c:pt>
                <c:pt idx="10">
                  <c:v>2278</c:v>
                </c:pt>
                <c:pt idx="11">
                  <c:v>2316.9499999999998</c:v>
                </c:pt>
                <c:pt idx="12">
                  <c:v>2345</c:v>
                </c:pt>
                <c:pt idx="13">
                  <c:v>2365</c:v>
                </c:pt>
                <c:pt idx="14">
                  <c:v>2345.85</c:v>
                </c:pt>
                <c:pt idx="15">
                  <c:v>2352.9</c:v>
                </c:pt>
                <c:pt idx="16">
                  <c:v>2355</c:v>
                </c:pt>
                <c:pt idx="17">
                  <c:v>2363.75</c:v>
                </c:pt>
                <c:pt idx="18">
                  <c:v>2379</c:v>
                </c:pt>
              </c:numCache>
            </c:numRef>
          </c:val>
          <c:smooth val="0"/>
          <c:extLst>
            <c:ext xmlns:c16="http://schemas.microsoft.com/office/drawing/2014/chart" uri="{C3380CC4-5D6E-409C-BE32-E72D297353CC}">
              <c16:uniqueId val="{00000001-4AA3-4231-A774-429C7AB2B36D}"/>
            </c:ext>
          </c:extLst>
        </c:ser>
        <c:ser>
          <c:idx val="2"/>
          <c:order val="2"/>
          <c:tx>
            <c:strRef>
              <c:f>LT!$D$6</c:f>
              <c:strCache>
                <c:ptCount val="1"/>
                <c:pt idx="0">
                  <c:v>High</c:v>
                </c:pt>
              </c:strCache>
            </c:strRef>
          </c:tx>
          <c:spPr>
            <a:ln w="19050" cap="rnd">
              <a:noFill/>
              <a:round/>
            </a:ln>
            <a:effectLst/>
          </c:spPr>
          <c:marker>
            <c:symbol val="none"/>
          </c:marker>
          <c:cat>
            <c:numRef>
              <c:f>LT!$A$7:$A$25</c:f>
              <c:numCache>
                <c:formatCode>m/d/yyyy</c:formatCode>
                <c:ptCount val="19"/>
                <c:pt idx="0">
                  <c:v>45070</c:v>
                </c:pt>
                <c:pt idx="1">
                  <c:v>45071</c:v>
                </c:pt>
                <c:pt idx="2">
                  <c:v>45072</c:v>
                </c:pt>
                <c:pt idx="3">
                  <c:v>45075</c:v>
                </c:pt>
                <c:pt idx="4">
                  <c:v>45076</c:v>
                </c:pt>
                <c:pt idx="5">
                  <c:v>45077</c:v>
                </c:pt>
                <c:pt idx="6">
                  <c:v>45078</c:v>
                </c:pt>
                <c:pt idx="7">
                  <c:v>45079</c:v>
                </c:pt>
                <c:pt idx="8">
                  <c:v>45082</c:v>
                </c:pt>
                <c:pt idx="9">
                  <c:v>45083</c:v>
                </c:pt>
                <c:pt idx="10">
                  <c:v>45084</c:v>
                </c:pt>
                <c:pt idx="11">
                  <c:v>45085</c:v>
                </c:pt>
                <c:pt idx="12">
                  <c:v>45086</c:v>
                </c:pt>
                <c:pt idx="13">
                  <c:v>45089</c:v>
                </c:pt>
                <c:pt idx="14">
                  <c:v>45090</c:v>
                </c:pt>
                <c:pt idx="15">
                  <c:v>45091</c:v>
                </c:pt>
                <c:pt idx="16">
                  <c:v>45092</c:v>
                </c:pt>
                <c:pt idx="17">
                  <c:v>45093</c:v>
                </c:pt>
                <c:pt idx="18">
                  <c:v>45096</c:v>
                </c:pt>
              </c:numCache>
            </c:numRef>
          </c:cat>
          <c:val>
            <c:numRef>
              <c:f>LT!$D$7:$D$25</c:f>
              <c:numCache>
                <c:formatCode>_ [$₹-4009]\ * #,##0.00_ ;_ [$₹-4009]\ * \-#,##0.00_ ;_ [$₹-4009]\ * "-"??_ ;_ @_ </c:formatCode>
                <c:ptCount val="19"/>
                <c:pt idx="0">
                  <c:v>2208.5</c:v>
                </c:pt>
                <c:pt idx="1">
                  <c:v>2207.3000000000002</c:v>
                </c:pt>
                <c:pt idx="2">
                  <c:v>2220.75</c:v>
                </c:pt>
                <c:pt idx="3">
                  <c:v>2241.8000000000002</c:v>
                </c:pt>
                <c:pt idx="4">
                  <c:v>2237</c:v>
                </c:pt>
                <c:pt idx="5">
                  <c:v>2224</c:v>
                </c:pt>
                <c:pt idx="6">
                  <c:v>2222</c:v>
                </c:pt>
                <c:pt idx="7">
                  <c:v>2237.3000000000002</c:v>
                </c:pt>
                <c:pt idx="8">
                  <c:v>2272.8000000000002</c:v>
                </c:pt>
                <c:pt idx="9">
                  <c:v>2280.6999999999998</c:v>
                </c:pt>
                <c:pt idx="10">
                  <c:v>2318</c:v>
                </c:pt>
                <c:pt idx="11">
                  <c:v>2345.0500000000002</c:v>
                </c:pt>
                <c:pt idx="12">
                  <c:v>2368.85</c:v>
                </c:pt>
                <c:pt idx="13">
                  <c:v>2370</c:v>
                </c:pt>
                <c:pt idx="14">
                  <c:v>2357.9</c:v>
                </c:pt>
                <c:pt idx="15">
                  <c:v>2360</c:v>
                </c:pt>
                <c:pt idx="16">
                  <c:v>2369.5</c:v>
                </c:pt>
                <c:pt idx="17">
                  <c:v>2380</c:v>
                </c:pt>
                <c:pt idx="18">
                  <c:v>2419.9</c:v>
                </c:pt>
              </c:numCache>
            </c:numRef>
          </c:val>
          <c:smooth val="0"/>
          <c:extLst>
            <c:ext xmlns:c16="http://schemas.microsoft.com/office/drawing/2014/chart" uri="{C3380CC4-5D6E-409C-BE32-E72D297353CC}">
              <c16:uniqueId val="{00000002-4AA3-4231-A774-429C7AB2B36D}"/>
            </c:ext>
          </c:extLst>
        </c:ser>
        <c:ser>
          <c:idx val="3"/>
          <c:order val="3"/>
          <c:tx>
            <c:strRef>
              <c:f>LT!$E$6</c:f>
              <c:strCache>
                <c:ptCount val="1"/>
                <c:pt idx="0">
                  <c:v>Low</c:v>
                </c:pt>
              </c:strCache>
            </c:strRef>
          </c:tx>
          <c:spPr>
            <a:ln w="19050" cap="rnd">
              <a:noFill/>
              <a:round/>
            </a:ln>
            <a:effectLst/>
          </c:spPr>
          <c:marker>
            <c:symbol val="none"/>
          </c:marker>
          <c:cat>
            <c:numRef>
              <c:f>LT!$A$7:$A$25</c:f>
              <c:numCache>
                <c:formatCode>m/d/yyyy</c:formatCode>
                <c:ptCount val="19"/>
                <c:pt idx="0">
                  <c:v>45070</c:v>
                </c:pt>
                <c:pt idx="1">
                  <c:v>45071</c:v>
                </c:pt>
                <c:pt idx="2">
                  <c:v>45072</c:v>
                </c:pt>
                <c:pt idx="3">
                  <c:v>45075</c:v>
                </c:pt>
                <c:pt idx="4">
                  <c:v>45076</c:v>
                </c:pt>
                <c:pt idx="5">
                  <c:v>45077</c:v>
                </c:pt>
                <c:pt idx="6">
                  <c:v>45078</c:v>
                </c:pt>
                <c:pt idx="7">
                  <c:v>45079</c:v>
                </c:pt>
                <c:pt idx="8">
                  <c:v>45082</c:v>
                </c:pt>
                <c:pt idx="9">
                  <c:v>45083</c:v>
                </c:pt>
                <c:pt idx="10">
                  <c:v>45084</c:v>
                </c:pt>
                <c:pt idx="11">
                  <c:v>45085</c:v>
                </c:pt>
                <c:pt idx="12">
                  <c:v>45086</c:v>
                </c:pt>
                <c:pt idx="13">
                  <c:v>45089</c:v>
                </c:pt>
                <c:pt idx="14">
                  <c:v>45090</c:v>
                </c:pt>
                <c:pt idx="15">
                  <c:v>45091</c:v>
                </c:pt>
                <c:pt idx="16">
                  <c:v>45092</c:v>
                </c:pt>
                <c:pt idx="17">
                  <c:v>45093</c:v>
                </c:pt>
                <c:pt idx="18">
                  <c:v>45096</c:v>
                </c:pt>
              </c:numCache>
            </c:numRef>
          </c:cat>
          <c:val>
            <c:numRef>
              <c:f>LT!$E$7:$E$25</c:f>
              <c:numCache>
                <c:formatCode>_ [$₹-4009]\ * #,##0.00_ ;_ [$₹-4009]\ * \-#,##0.00_ ;_ [$₹-4009]\ * "-"??_ ;_ @_ </c:formatCode>
                <c:ptCount val="19"/>
                <c:pt idx="0">
                  <c:v>2176</c:v>
                </c:pt>
                <c:pt idx="1">
                  <c:v>2178</c:v>
                </c:pt>
                <c:pt idx="2">
                  <c:v>2201</c:v>
                </c:pt>
                <c:pt idx="3">
                  <c:v>2220.1999999999998</c:v>
                </c:pt>
                <c:pt idx="4">
                  <c:v>2207.1999999999998</c:v>
                </c:pt>
                <c:pt idx="5">
                  <c:v>2200</c:v>
                </c:pt>
                <c:pt idx="6">
                  <c:v>2202.15</c:v>
                </c:pt>
                <c:pt idx="7">
                  <c:v>2212.15</c:v>
                </c:pt>
                <c:pt idx="8">
                  <c:v>2240</c:v>
                </c:pt>
                <c:pt idx="9">
                  <c:v>2263.6999999999998</c:v>
                </c:pt>
                <c:pt idx="10">
                  <c:v>2278</c:v>
                </c:pt>
                <c:pt idx="11">
                  <c:v>2312.75</c:v>
                </c:pt>
                <c:pt idx="12">
                  <c:v>2338.25</c:v>
                </c:pt>
                <c:pt idx="13">
                  <c:v>2333.1</c:v>
                </c:pt>
                <c:pt idx="14">
                  <c:v>2327.1</c:v>
                </c:pt>
                <c:pt idx="15">
                  <c:v>2340</c:v>
                </c:pt>
                <c:pt idx="16">
                  <c:v>2349</c:v>
                </c:pt>
                <c:pt idx="17">
                  <c:v>2352.25</c:v>
                </c:pt>
                <c:pt idx="18">
                  <c:v>2361</c:v>
                </c:pt>
              </c:numCache>
            </c:numRef>
          </c:val>
          <c:smooth val="0"/>
          <c:extLst>
            <c:ext xmlns:c16="http://schemas.microsoft.com/office/drawing/2014/chart" uri="{C3380CC4-5D6E-409C-BE32-E72D297353CC}">
              <c16:uniqueId val="{00000003-4AA3-4231-A774-429C7AB2B36D}"/>
            </c:ext>
          </c:extLst>
        </c:ser>
        <c:ser>
          <c:idx val="4"/>
          <c:order val="4"/>
          <c:tx>
            <c:strRef>
              <c:f>LT!$F$6</c:f>
              <c:strCache>
                <c:ptCount val="1"/>
                <c:pt idx="0">
                  <c:v>Close</c:v>
                </c:pt>
              </c:strCache>
            </c:strRef>
          </c:tx>
          <c:spPr>
            <a:ln w="19050" cap="rnd">
              <a:noFill/>
              <a:round/>
            </a:ln>
            <a:effectLst/>
          </c:spPr>
          <c:marker>
            <c:symbol val="none"/>
          </c:marker>
          <c:cat>
            <c:numRef>
              <c:f>LT!$A$7:$A$25</c:f>
              <c:numCache>
                <c:formatCode>m/d/yyyy</c:formatCode>
                <c:ptCount val="19"/>
                <c:pt idx="0">
                  <c:v>45070</c:v>
                </c:pt>
                <c:pt idx="1">
                  <c:v>45071</c:v>
                </c:pt>
                <c:pt idx="2">
                  <c:v>45072</c:v>
                </c:pt>
                <c:pt idx="3">
                  <c:v>45075</c:v>
                </c:pt>
                <c:pt idx="4">
                  <c:v>45076</c:v>
                </c:pt>
                <c:pt idx="5">
                  <c:v>45077</c:v>
                </c:pt>
                <c:pt idx="6">
                  <c:v>45078</c:v>
                </c:pt>
                <c:pt idx="7">
                  <c:v>45079</c:v>
                </c:pt>
                <c:pt idx="8">
                  <c:v>45082</c:v>
                </c:pt>
                <c:pt idx="9">
                  <c:v>45083</c:v>
                </c:pt>
                <c:pt idx="10">
                  <c:v>45084</c:v>
                </c:pt>
                <c:pt idx="11">
                  <c:v>45085</c:v>
                </c:pt>
                <c:pt idx="12">
                  <c:v>45086</c:v>
                </c:pt>
                <c:pt idx="13">
                  <c:v>45089</c:v>
                </c:pt>
                <c:pt idx="14">
                  <c:v>45090</c:v>
                </c:pt>
                <c:pt idx="15">
                  <c:v>45091</c:v>
                </c:pt>
                <c:pt idx="16">
                  <c:v>45092</c:v>
                </c:pt>
                <c:pt idx="17">
                  <c:v>45093</c:v>
                </c:pt>
                <c:pt idx="18">
                  <c:v>45096</c:v>
                </c:pt>
              </c:numCache>
            </c:numRef>
          </c:cat>
          <c:val>
            <c:numRef>
              <c:f>LT!$F$7:$F$25</c:f>
              <c:numCache>
                <c:formatCode>_ [$₹-4009]\ * #,##0.00_ ;_ [$₹-4009]\ * \-#,##0.00_ ;_ [$₹-4009]\ * "-"??_ ;_ @_ </c:formatCode>
                <c:ptCount val="19"/>
                <c:pt idx="0">
                  <c:v>2185.15</c:v>
                </c:pt>
                <c:pt idx="1">
                  <c:v>2204.6999999999998</c:v>
                </c:pt>
                <c:pt idx="2">
                  <c:v>2218.4499999999998</c:v>
                </c:pt>
                <c:pt idx="3">
                  <c:v>2224.5500000000002</c:v>
                </c:pt>
                <c:pt idx="4">
                  <c:v>2210.8000000000002</c:v>
                </c:pt>
                <c:pt idx="5">
                  <c:v>2205.65</c:v>
                </c:pt>
                <c:pt idx="6">
                  <c:v>2207.8000000000002</c:v>
                </c:pt>
                <c:pt idx="7">
                  <c:v>2234.5500000000002</c:v>
                </c:pt>
                <c:pt idx="8">
                  <c:v>2268.3000000000002</c:v>
                </c:pt>
                <c:pt idx="9">
                  <c:v>2277.9499999999998</c:v>
                </c:pt>
                <c:pt idx="10">
                  <c:v>2315.5</c:v>
                </c:pt>
                <c:pt idx="11">
                  <c:v>2340.3000000000002</c:v>
                </c:pt>
                <c:pt idx="12">
                  <c:v>2363</c:v>
                </c:pt>
                <c:pt idx="13">
                  <c:v>2339.9499999999998</c:v>
                </c:pt>
                <c:pt idx="14">
                  <c:v>2354.4</c:v>
                </c:pt>
                <c:pt idx="15">
                  <c:v>2355.0500000000002</c:v>
                </c:pt>
                <c:pt idx="16">
                  <c:v>2361.3000000000002</c:v>
                </c:pt>
                <c:pt idx="17">
                  <c:v>2366.8000000000002</c:v>
                </c:pt>
                <c:pt idx="18">
                  <c:v>2366.35</c:v>
                </c:pt>
              </c:numCache>
            </c:numRef>
          </c:val>
          <c:smooth val="0"/>
          <c:extLst>
            <c:ext xmlns:c16="http://schemas.microsoft.com/office/drawing/2014/chart" uri="{C3380CC4-5D6E-409C-BE32-E72D297353CC}">
              <c16:uniqueId val="{00000004-4AA3-4231-A774-429C7AB2B36D}"/>
            </c:ext>
          </c:extLst>
        </c:ser>
        <c:dLbls>
          <c:showLegendKey val="0"/>
          <c:showVal val="0"/>
          <c:showCatName val="0"/>
          <c:showSerName val="0"/>
          <c:showPercent val="0"/>
          <c:showBubbleSize val="0"/>
        </c:dLbls>
        <c:hiLowLines>
          <c:spPr>
            <a:ln w="9525" cap="flat" cmpd="sng" algn="ctr">
              <a:solidFill>
                <a:schemeClr val="tx1">
                  <a:lumMod val="75000"/>
                  <a:lumOff val="25000"/>
                </a:schemeClr>
              </a:solidFill>
              <a:round/>
            </a:ln>
            <a:effectLst/>
          </c:spPr>
        </c:hiLowLines>
        <c:upDownBars>
          <c:gapWidth val="150"/>
          <c:upBars>
            <c:spPr>
              <a:solidFill>
                <a:schemeClr val="lt1"/>
              </a:solidFill>
              <a:ln w="9525" cap="flat" cmpd="sng" algn="ctr">
                <a:solidFill>
                  <a:schemeClr val="tx1">
                    <a:lumMod val="65000"/>
                    <a:lumOff val="35000"/>
                  </a:schemeClr>
                </a:solidFill>
                <a:round/>
              </a:ln>
              <a:effectLst/>
            </c:spPr>
          </c:upBars>
          <c:downBars>
            <c:spPr>
              <a:solidFill>
                <a:schemeClr val="dk1">
                  <a:lumMod val="75000"/>
                  <a:lumOff val="25000"/>
                </a:schemeClr>
              </a:solidFill>
              <a:ln w="9525" cap="flat" cmpd="sng" algn="ctr">
                <a:solidFill>
                  <a:schemeClr val="tx1">
                    <a:lumMod val="65000"/>
                    <a:lumOff val="35000"/>
                  </a:schemeClr>
                </a:solidFill>
                <a:round/>
              </a:ln>
              <a:effectLst/>
            </c:spPr>
          </c:downBars>
        </c:upDownBars>
        <c:axId val="423951184"/>
        <c:axId val="1129253712"/>
      </c:stockChart>
      <c:dateAx>
        <c:axId val="423954432"/>
        <c:scaling>
          <c:orientation val="minMax"/>
        </c:scaling>
        <c:delete val="0"/>
        <c:axPos val="b"/>
        <c:numFmt formatCode="d\-mmm"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5797104"/>
        <c:crosses val="autoZero"/>
        <c:auto val="1"/>
        <c:lblOffset val="100"/>
        <c:baseTimeUnit val="days"/>
      </c:dateAx>
      <c:valAx>
        <c:axId val="965797104"/>
        <c:scaling>
          <c:orientation val="minMax"/>
        </c:scaling>
        <c:delete val="0"/>
        <c:axPos val="l"/>
        <c:majorGridlines>
          <c:spPr>
            <a:ln w="9525" cap="flat" cmpd="sng" algn="ctr">
              <a:solidFill>
                <a:schemeClr val="tx1">
                  <a:lumMod val="15000"/>
                  <a:lumOff val="85000"/>
                </a:schemeClr>
              </a:solidFill>
              <a:round/>
            </a:ln>
            <a:effectLst/>
          </c:spPr>
        </c:majorGridlines>
        <c:numFmt formatCode="#\ ##0\ 0,,\ &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3954432"/>
        <c:crosses val="autoZero"/>
        <c:crossBetween val="between"/>
      </c:valAx>
      <c:valAx>
        <c:axId val="1129253712"/>
        <c:scaling>
          <c:orientation val="minMax"/>
        </c:scaling>
        <c:delete val="0"/>
        <c:axPos val="r"/>
        <c:majorGridlines>
          <c:spPr>
            <a:ln w="9525" cap="flat" cmpd="sng" algn="ctr">
              <a:solidFill>
                <a:schemeClr val="tx1">
                  <a:lumMod val="15000"/>
                  <a:lumOff val="85000"/>
                </a:schemeClr>
              </a:solidFill>
              <a:round/>
            </a:ln>
            <a:effectLst/>
          </c:spPr>
        </c:majorGridlines>
        <c:numFmt formatCode="_ [$₹-4009]\ * #,##0.00_ ;_ [$₹-4009]\ * \-#,##0.00_ ;_ [$₹-4009]\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3951184"/>
        <c:crosses val="max"/>
        <c:crossBetween val="between"/>
      </c:valAx>
      <c:dateAx>
        <c:axId val="423951184"/>
        <c:scaling>
          <c:orientation val="minMax"/>
        </c:scaling>
        <c:delete val="1"/>
        <c:axPos val="b"/>
        <c:numFmt formatCode="m/d/yyyy" sourceLinked="1"/>
        <c:majorTickMark val="out"/>
        <c:minorTickMark val="none"/>
        <c:tickLblPos val="nextTo"/>
        <c:crossAx val="1129253712"/>
        <c:crosses val="autoZero"/>
        <c:auto val="1"/>
        <c:lblOffset val="100"/>
        <c:baseTimeUnit val="days"/>
      </c:date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Price</a:t>
            </a:r>
            <a:r>
              <a:rPr lang="en-IN" baseline="0"/>
              <a:t> variation - last year</a:t>
            </a:r>
            <a:endParaRPr lang="en-IN"/>
          </a:p>
        </c:rich>
      </c:tx>
      <c:layout>
        <c:manualLayout>
          <c:xMode val="edge"/>
          <c:yMode val="edge"/>
          <c:x val="0.18057880922779387"/>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222061311719295"/>
          <c:y val="0.17171296296296296"/>
          <c:w val="0.75101749395862971"/>
          <c:h val="0.70841097987751533"/>
        </c:manualLayout>
      </c:layout>
      <c:lineChart>
        <c:grouping val="stacked"/>
        <c:varyColors val="0"/>
        <c:ser>
          <c:idx val="0"/>
          <c:order val="0"/>
          <c:spPr>
            <a:ln w="28575" cap="rnd">
              <a:solidFill>
                <a:schemeClr val="accent1"/>
              </a:solidFill>
              <a:round/>
            </a:ln>
            <a:effectLst/>
          </c:spPr>
          <c:marker>
            <c:symbol val="none"/>
          </c:marker>
          <c:val>
            <c:numRef>
              <c:f>LT!$C$4:$IQ$4</c:f>
              <c:numCache>
                <c:formatCode>_ [$₹-4009]\ * #,##0.00_ ;_ [$₹-4009]\ * \-#,##0.00_ ;_ [$₹-4009]\ * "-"??_ ;_ @_ </c:formatCode>
                <c:ptCount val="249"/>
                <c:pt idx="0">
                  <c:v>1494.3</c:v>
                </c:pt>
                <c:pt idx="1">
                  <c:v>1494.85</c:v>
                </c:pt>
                <c:pt idx="2">
                  <c:v>1535.8</c:v>
                </c:pt>
                <c:pt idx="3">
                  <c:v>1551.5</c:v>
                </c:pt>
                <c:pt idx="4">
                  <c:v>1547.9</c:v>
                </c:pt>
                <c:pt idx="5">
                  <c:v>1558.25</c:v>
                </c:pt>
                <c:pt idx="6">
                  <c:v>1572.15</c:v>
                </c:pt>
                <c:pt idx="7">
                  <c:v>1581.7</c:v>
                </c:pt>
                <c:pt idx="8">
                  <c:v>1564.9</c:v>
                </c:pt>
                <c:pt idx="9">
                  <c:v>1556.15</c:v>
                </c:pt>
                <c:pt idx="10">
                  <c:v>1611.1</c:v>
                </c:pt>
                <c:pt idx="11">
                  <c:v>1687.45</c:v>
                </c:pt>
                <c:pt idx="12">
                  <c:v>1663</c:v>
                </c:pt>
                <c:pt idx="13">
                  <c:v>1653.75</c:v>
                </c:pt>
                <c:pt idx="14">
                  <c:v>1647.25</c:v>
                </c:pt>
                <c:pt idx="15">
                  <c:v>1646.15</c:v>
                </c:pt>
                <c:pt idx="16">
                  <c:v>1684.85</c:v>
                </c:pt>
                <c:pt idx="17">
                  <c:v>1727.65</c:v>
                </c:pt>
                <c:pt idx="18">
                  <c:v>1729.8</c:v>
                </c:pt>
                <c:pt idx="19">
                  <c:v>1739.95</c:v>
                </c:pt>
                <c:pt idx="20">
                  <c:v>1765.15</c:v>
                </c:pt>
                <c:pt idx="21">
                  <c:v>1767.75</c:v>
                </c:pt>
                <c:pt idx="22">
                  <c:v>1782.45</c:v>
                </c:pt>
                <c:pt idx="23">
                  <c:v>1751.25</c:v>
                </c:pt>
                <c:pt idx="24">
                  <c:v>1796.65</c:v>
                </c:pt>
                <c:pt idx="25">
                  <c:v>1801.25</c:v>
                </c:pt>
                <c:pt idx="26">
                  <c:v>1808.05</c:v>
                </c:pt>
                <c:pt idx="27">
                  <c:v>1814.7</c:v>
                </c:pt>
                <c:pt idx="28">
                  <c:v>1793.05</c:v>
                </c:pt>
                <c:pt idx="29">
                  <c:v>1789.8</c:v>
                </c:pt>
                <c:pt idx="30">
                  <c:v>1780.1</c:v>
                </c:pt>
                <c:pt idx="31">
                  <c:v>1787.45</c:v>
                </c:pt>
                <c:pt idx="32">
                  <c:v>1829.65</c:v>
                </c:pt>
                <c:pt idx="33">
                  <c:v>1855.15</c:v>
                </c:pt>
                <c:pt idx="34">
                  <c:v>1867.15</c:v>
                </c:pt>
                <c:pt idx="35">
                  <c:v>1846.45</c:v>
                </c:pt>
                <c:pt idx="36">
                  <c:v>1848.9</c:v>
                </c:pt>
                <c:pt idx="37">
                  <c:v>1855.7</c:v>
                </c:pt>
                <c:pt idx="38">
                  <c:v>1894.55</c:v>
                </c:pt>
                <c:pt idx="39">
                  <c:v>1936.05</c:v>
                </c:pt>
                <c:pt idx="40">
                  <c:v>1880.65</c:v>
                </c:pt>
                <c:pt idx="41">
                  <c:v>1877.05</c:v>
                </c:pt>
                <c:pt idx="42">
                  <c:v>1893.35</c:v>
                </c:pt>
                <c:pt idx="43">
                  <c:v>1877.9</c:v>
                </c:pt>
                <c:pt idx="44">
                  <c:v>1905.4</c:v>
                </c:pt>
                <c:pt idx="45">
                  <c:v>1881.5</c:v>
                </c:pt>
                <c:pt idx="46">
                  <c:v>1922.5</c:v>
                </c:pt>
                <c:pt idx="47">
                  <c:v>1912.95</c:v>
                </c:pt>
                <c:pt idx="48">
                  <c:v>1940.5</c:v>
                </c:pt>
                <c:pt idx="49">
                  <c:v>1968.35</c:v>
                </c:pt>
                <c:pt idx="50">
                  <c:v>1962.3</c:v>
                </c:pt>
                <c:pt idx="51">
                  <c:v>1958.1</c:v>
                </c:pt>
                <c:pt idx="52">
                  <c:v>1974.4</c:v>
                </c:pt>
                <c:pt idx="53">
                  <c:v>1949.75</c:v>
                </c:pt>
                <c:pt idx="54">
                  <c:v>1961.9</c:v>
                </c:pt>
                <c:pt idx="55">
                  <c:v>1991.35</c:v>
                </c:pt>
                <c:pt idx="56">
                  <c:v>1953.9</c:v>
                </c:pt>
                <c:pt idx="57">
                  <c:v>1957.5</c:v>
                </c:pt>
                <c:pt idx="58">
                  <c:v>1920</c:v>
                </c:pt>
                <c:pt idx="59">
                  <c:v>1910.7</c:v>
                </c:pt>
                <c:pt idx="60">
                  <c:v>1932.7</c:v>
                </c:pt>
                <c:pt idx="61">
                  <c:v>1895.65</c:v>
                </c:pt>
                <c:pt idx="62">
                  <c:v>1888.2</c:v>
                </c:pt>
                <c:pt idx="63">
                  <c:v>1856.85</c:v>
                </c:pt>
                <c:pt idx="64">
                  <c:v>1851.45</c:v>
                </c:pt>
                <c:pt idx="65">
                  <c:v>1841.2</c:v>
                </c:pt>
                <c:pt idx="66">
                  <c:v>1835.45</c:v>
                </c:pt>
                <c:pt idx="67">
                  <c:v>1815.5</c:v>
                </c:pt>
                <c:pt idx="68">
                  <c:v>1847.7</c:v>
                </c:pt>
                <c:pt idx="69">
                  <c:v>1819.3</c:v>
                </c:pt>
                <c:pt idx="70">
                  <c:v>1871.55</c:v>
                </c:pt>
                <c:pt idx="71">
                  <c:v>1912.95</c:v>
                </c:pt>
                <c:pt idx="72">
                  <c:v>1924.55</c:v>
                </c:pt>
                <c:pt idx="73">
                  <c:v>1909.65</c:v>
                </c:pt>
                <c:pt idx="74">
                  <c:v>1878.95</c:v>
                </c:pt>
                <c:pt idx="75">
                  <c:v>1911.25</c:v>
                </c:pt>
                <c:pt idx="76">
                  <c:v>1876.15</c:v>
                </c:pt>
                <c:pt idx="77">
                  <c:v>1911.6</c:v>
                </c:pt>
                <c:pt idx="78">
                  <c:v>1883.2</c:v>
                </c:pt>
                <c:pt idx="79">
                  <c:v>1918.1</c:v>
                </c:pt>
                <c:pt idx="80">
                  <c:v>1904.9</c:v>
                </c:pt>
                <c:pt idx="81">
                  <c:v>1904.15</c:v>
                </c:pt>
                <c:pt idx="82">
                  <c:v>1876.75</c:v>
                </c:pt>
                <c:pt idx="83">
                  <c:v>1909.75</c:v>
                </c:pt>
                <c:pt idx="84">
                  <c:v>1949.1</c:v>
                </c:pt>
                <c:pt idx="85">
                  <c:v>1964.05</c:v>
                </c:pt>
                <c:pt idx="86">
                  <c:v>1975.05</c:v>
                </c:pt>
                <c:pt idx="87">
                  <c:v>2023.1</c:v>
                </c:pt>
                <c:pt idx="88">
                  <c:v>2024.45</c:v>
                </c:pt>
                <c:pt idx="89">
                  <c:v>2013.3</c:v>
                </c:pt>
                <c:pt idx="90">
                  <c:v>2008.7</c:v>
                </c:pt>
                <c:pt idx="91">
                  <c:v>2015.1</c:v>
                </c:pt>
                <c:pt idx="92">
                  <c:v>2017.65</c:v>
                </c:pt>
                <c:pt idx="93">
                  <c:v>2003.5</c:v>
                </c:pt>
                <c:pt idx="94">
                  <c:v>1977.65</c:v>
                </c:pt>
                <c:pt idx="95">
                  <c:v>2011.1</c:v>
                </c:pt>
                <c:pt idx="96">
                  <c:v>1999.8</c:v>
                </c:pt>
                <c:pt idx="97">
                  <c:v>1996.55</c:v>
                </c:pt>
                <c:pt idx="98">
                  <c:v>2003.6</c:v>
                </c:pt>
                <c:pt idx="99">
                  <c:v>2029.55</c:v>
                </c:pt>
                <c:pt idx="100">
                  <c:v>2024.45</c:v>
                </c:pt>
                <c:pt idx="101">
                  <c:v>2011.45</c:v>
                </c:pt>
                <c:pt idx="102">
                  <c:v>2029.8</c:v>
                </c:pt>
                <c:pt idx="103">
                  <c:v>2025</c:v>
                </c:pt>
                <c:pt idx="104">
                  <c:v>2052.1999999999998</c:v>
                </c:pt>
                <c:pt idx="105">
                  <c:v>2062.75</c:v>
                </c:pt>
                <c:pt idx="106">
                  <c:v>2064.4499999999998</c:v>
                </c:pt>
                <c:pt idx="107">
                  <c:v>2050.5500000000002</c:v>
                </c:pt>
                <c:pt idx="108">
                  <c:v>2074.85</c:v>
                </c:pt>
                <c:pt idx="109">
                  <c:v>2104.25</c:v>
                </c:pt>
                <c:pt idx="110">
                  <c:v>2085.5</c:v>
                </c:pt>
                <c:pt idx="111">
                  <c:v>2085.6</c:v>
                </c:pt>
                <c:pt idx="112">
                  <c:v>2093.5</c:v>
                </c:pt>
                <c:pt idx="113">
                  <c:v>2124</c:v>
                </c:pt>
                <c:pt idx="114">
                  <c:v>2167.6999999999998</c:v>
                </c:pt>
                <c:pt idx="115">
                  <c:v>2154.0500000000002</c:v>
                </c:pt>
                <c:pt idx="116">
                  <c:v>2163.6999999999998</c:v>
                </c:pt>
                <c:pt idx="117">
                  <c:v>2172.9</c:v>
                </c:pt>
                <c:pt idx="118">
                  <c:v>2195.4499999999998</c:v>
                </c:pt>
                <c:pt idx="119">
                  <c:v>2177.5500000000002</c:v>
                </c:pt>
                <c:pt idx="120">
                  <c:v>2175</c:v>
                </c:pt>
                <c:pt idx="121">
                  <c:v>2184</c:v>
                </c:pt>
                <c:pt idx="122">
                  <c:v>2163.25</c:v>
                </c:pt>
                <c:pt idx="123">
                  <c:v>2146.3000000000002</c:v>
                </c:pt>
                <c:pt idx="124">
                  <c:v>2109.9499999999998</c:v>
                </c:pt>
                <c:pt idx="125">
                  <c:v>2062.75</c:v>
                </c:pt>
                <c:pt idx="126">
                  <c:v>2091.0500000000002</c:v>
                </c:pt>
                <c:pt idx="127">
                  <c:v>2124.1</c:v>
                </c:pt>
                <c:pt idx="128">
                  <c:v>2121.1</c:v>
                </c:pt>
                <c:pt idx="129">
                  <c:v>2110.9</c:v>
                </c:pt>
                <c:pt idx="130">
                  <c:v>2085.8000000000002</c:v>
                </c:pt>
                <c:pt idx="131">
                  <c:v>2089.4499999999998</c:v>
                </c:pt>
                <c:pt idx="132">
                  <c:v>2088.9499999999998</c:v>
                </c:pt>
                <c:pt idx="133">
                  <c:v>2070.5500000000002</c:v>
                </c:pt>
                <c:pt idx="134">
                  <c:v>2087.35</c:v>
                </c:pt>
                <c:pt idx="135">
                  <c:v>2086.5500000000002</c:v>
                </c:pt>
                <c:pt idx="136">
                  <c:v>2121.6999999999998</c:v>
                </c:pt>
                <c:pt idx="137">
                  <c:v>2106.65</c:v>
                </c:pt>
                <c:pt idx="138">
                  <c:v>2125.35</c:v>
                </c:pt>
                <c:pt idx="139">
                  <c:v>2159.75</c:v>
                </c:pt>
                <c:pt idx="140">
                  <c:v>2153.4</c:v>
                </c:pt>
                <c:pt idx="141">
                  <c:v>2137.1999999999998</c:v>
                </c:pt>
                <c:pt idx="142">
                  <c:v>2213.1</c:v>
                </c:pt>
                <c:pt idx="143">
                  <c:v>2266.5</c:v>
                </c:pt>
                <c:pt idx="144">
                  <c:v>2273.1</c:v>
                </c:pt>
                <c:pt idx="145">
                  <c:v>2249.9499999999998</c:v>
                </c:pt>
                <c:pt idx="146">
                  <c:v>2233.5</c:v>
                </c:pt>
                <c:pt idx="147">
                  <c:v>2207.5</c:v>
                </c:pt>
                <c:pt idx="148">
                  <c:v>2174.6999999999998</c:v>
                </c:pt>
                <c:pt idx="149">
                  <c:v>2159.85</c:v>
                </c:pt>
                <c:pt idx="150">
                  <c:v>2112.9</c:v>
                </c:pt>
                <c:pt idx="151">
                  <c:v>2124.4</c:v>
                </c:pt>
                <c:pt idx="152">
                  <c:v>2145.5500000000002</c:v>
                </c:pt>
                <c:pt idx="153">
                  <c:v>2144.9</c:v>
                </c:pt>
                <c:pt idx="154">
                  <c:v>2166.5500000000002</c:v>
                </c:pt>
                <c:pt idx="155">
                  <c:v>2156.1</c:v>
                </c:pt>
                <c:pt idx="156">
                  <c:v>2165.3000000000002</c:v>
                </c:pt>
                <c:pt idx="157">
                  <c:v>2130.85</c:v>
                </c:pt>
                <c:pt idx="158">
                  <c:v>2147.4</c:v>
                </c:pt>
                <c:pt idx="159">
                  <c:v>2163.85</c:v>
                </c:pt>
                <c:pt idx="160">
                  <c:v>2203.3000000000002</c:v>
                </c:pt>
                <c:pt idx="161">
                  <c:v>2191.65</c:v>
                </c:pt>
                <c:pt idx="162">
                  <c:v>2175.0500000000002</c:v>
                </c:pt>
                <c:pt idx="163">
                  <c:v>2178.3000000000002</c:v>
                </c:pt>
                <c:pt idx="164">
                  <c:v>2226.35</c:v>
                </c:pt>
                <c:pt idx="165">
                  <c:v>2225.5</c:v>
                </c:pt>
                <c:pt idx="166">
                  <c:v>2229.4499999999998</c:v>
                </c:pt>
                <c:pt idx="167">
                  <c:v>2194.75</c:v>
                </c:pt>
                <c:pt idx="168">
                  <c:v>2159.15</c:v>
                </c:pt>
                <c:pt idx="169">
                  <c:v>2134.0500000000002</c:v>
                </c:pt>
                <c:pt idx="170">
                  <c:v>2113.6999999999998</c:v>
                </c:pt>
                <c:pt idx="171">
                  <c:v>2109.15</c:v>
                </c:pt>
                <c:pt idx="172">
                  <c:v>2115.3000000000002</c:v>
                </c:pt>
                <c:pt idx="173">
                  <c:v>2121.6</c:v>
                </c:pt>
                <c:pt idx="174">
                  <c:v>2152.0500000000002</c:v>
                </c:pt>
                <c:pt idx="175">
                  <c:v>2141.15</c:v>
                </c:pt>
                <c:pt idx="176">
                  <c:v>2170.8000000000002</c:v>
                </c:pt>
                <c:pt idx="177">
                  <c:v>2193.1999999999998</c:v>
                </c:pt>
                <c:pt idx="178">
                  <c:v>2157.85</c:v>
                </c:pt>
                <c:pt idx="179">
                  <c:v>2133.85</c:v>
                </c:pt>
                <c:pt idx="180">
                  <c:v>2144.1999999999998</c:v>
                </c:pt>
                <c:pt idx="181">
                  <c:v>2176.65</c:v>
                </c:pt>
                <c:pt idx="182">
                  <c:v>2173.6</c:v>
                </c:pt>
                <c:pt idx="183">
                  <c:v>2195.75</c:v>
                </c:pt>
                <c:pt idx="184">
                  <c:v>2177.5500000000002</c:v>
                </c:pt>
                <c:pt idx="185">
                  <c:v>2208.4499999999998</c:v>
                </c:pt>
                <c:pt idx="186">
                  <c:v>2213.9499999999998</c:v>
                </c:pt>
                <c:pt idx="187">
                  <c:v>2206.65</c:v>
                </c:pt>
                <c:pt idx="188">
                  <c:v>2166.15</c:v>
                </c:pt>
                <c:pt idx="189">
                  <c:v>2154</c:v>
                </c:pt>
                <c:pt idx="190">
                  <c:v>2133.6</c:v>
                </c:pt>
                <c:pt idx="191">
                  <c:v>2147.4499999999998</c:v>
                </c:pt>
                <c:pt idx="192">
                  <c:v>2164.1999999999998</c:v>
                </c:pt>
                <c:pt idx="193">
                  <c:v>2170.15</c:v>
                </c:pt>
                <c:pt idx="194">
                  <c:v>2257.75</c:v>
                </c:pt>
                <c:pt idx="195">
                  <c:v>2274.25</c:v>
                </c:pt>
                <c:pt idx="196">
                  <c:v>2309.6999999999998</c:v>
                </c:pt>
                <c:pt idx="197">
                  <c:v>2301.5</c:v>
                </c:pt>
                <c:pt idx="198">
                  <c:v>2288.5</c:v>
                </c:pt>
                <c:pt idx="199">
                  <c:v>2258.75</c:v>
                </c:pt>
                <c:pt idx="200">
                  <c:v>2214</c:v>
                </c:pt>
                <c:pt idx="201">
                  <c:v>2216.6</c:v>
                </c:pt>
                <c:pt idx="202">
                  <c:v>2219.6</c:v>
                </c:pt>
                <c:pt idx="203">
                  <c:v>2232.75</c:v>
                </c:pt>
                <c:pt idx="204">
                  <c:v>2215.1999999999998</c:v>
                </c:pt>
                <c:pt idx="205">
                  <c:v>2228.9</c:v>
                </c:pt>
                <c:pt idx="206">
                  <c:v>2247.9499999999998</c:v>
                </c:pt>
                <c:pt idx="207">
                  <c:v>2276.15</c:v>
                </c:pt>
                <c:pt idx="208">
                  <c:v>2305.6</c:v>
                </c:pt>
                <c:pt idx="209">
                  <c:v>2364.4</c:v>
                </c:pt>
                <c:pt idx="210">
                  <c:v>2384.4499999999998</c:v>
                </c:pt>
                <c:pt idx="211">
                  <c:v>2356.3000000000002</c:v>
                </c:pt>
                <c:pt idx="212">
                  <c:v>2356.9</c:v>
                </c:pt>
                <c:pt idx="213">
                  <c:v>2377.5</c:v>
                </c:pt>
                <c:pt idx="214">
                  <c:v>2365.4</c:v>
                </c:pt>
                <c:pt idx="215">
                  <c:v>2374.35</c:v>
                </c:pt>
                <c:pt idx="216">
                  <c:v>2364.4499999999998</c:v>
                </c:pt>
                <c:pt idx="217">
                  <c:v>2242.15</c:v>
                </c:pt>
                <c:pt idx="218">
                  <c:v>2221.1</c:v>
                </c:pt>
                <c:pt idx="219">
                  <c:v>2246.85</c:v>
                </c:pt>
                <c:pt idx="220">
                  <c:v>2227.1999999999998</c:v>
                </c:pt>
                <c:pt idx="221">
                  <c:v>2219.6</c:v>
                </c:pt>
                <c:pt idx="222">
                  <c:v>2188.1999999999998</c:v>
                </c:pt>
                <c:pt idx="223">
                  <c:v>2190.0500000000002</c:v>
                </c:pt>
                <c:pt idx="224">
                  <c:v>2216.6</c:v>
                </c:pt>
                <c:pt idx="225">
                  <c:v>2197.65</c:v>
                </c:pt>
                <c:pt idx="226">
                  <c:v>2185.15</c:v>
                </c:pt>
                <c:pt idx="227">
                  <c:v>2204.6999999999998</c:v>
                </c:pt>
                <c:pt idx="228">
                  <c:v>2218.4499999999998</c:v>
                </c:pt>
                <c:pt idx="229">
                  <c:v>2224.5500000000002</c:v>
                </c:pt>
                <c:pt idx="230">
                  <c:v>2210.8000000000002</c:v>
                </c:pt>
                <c:pt idx="231">
                  <c:v>2205.65</c:v>
                </c:pt>
                <c:pt idx="232">
                  <c:v>2207.8000000000002</c:v>
                </c:pt>
                <c:pt idx="233">
                  <c:v>2234.5500000000002</c:v>
                </c:pt>
                <c:pt idx="234">
                  <c:v>2268.3000000000002</c:v>
                </c:pt>
                <c:pt idx="235">
                  <c:v>2277.9499999999998</c:v>
                </c:pt>
                <c:pt idx="236">
                  <c:v>2315.5</c:v>
                </c:pt>
                <c:pt idx="237">
                  <c:v>2340.3000000000002</c:v>
                </c:pt>
                <c:pt idx="238">
                  <c:v>2363</c:v>
                </c:pt>
                <c:pt idx="239">
                  <c:v>2339.9499999999998</c:v>
                </c:pt>
                <c:pt idx="240">
                  <c:v>2354.4</c:v>
                </c:pt>
                <c:pt idx="241">
                  <c:v>2355.0500000000002</c:v>
                </c:pt>
                <c:pt idx="242">
                  <c:v>2361.3000000000002</c:v>
                </c:pt>
                <c:pt idx="243">
                  <c:v>2366.8000000000002</c:v>
                </c:pt>
                <c:pt idx="244">
                  <c:v>2366.35</c:v>
                </c:pt>
                <c:pt idx="245">
                  <c:v>2382</c:v>
                </c:pt>
                <c:pt idx="246">
                  <c:v>2394.4499999999998</c:v>
                </c:pt>
                <c:pt idx="247">
                  <c:v>2416.25</c:v>
                </c:pt>
              </c:numCache>
            </c:numRef>
          </c:val>
          <c:smooth val="0"/>
          <c:extLst>
            <c:ext xmlns:c16="http://schemas.microsoft.com/office/drawing/2014/chart" uri="{C3380CC4-5D6E-409C-BE32-E72D297353CC}">
              <c16:uniqueId val="{00000000-80BE-4AC1-8274-1F0F01B8B00E}"/>
            </c:ext>
          </c:extLst>
        </c:ser>
        <c:dLbls>
          <c:showLegendKey val="0"/>
          <c:showVal val="0"/>
          <c:showCatName val="0"/>
          <c:showSerName val="0"/>
          <c:showPercent val="0"/>
          <c:showBubbleSize val="0"/>
        </c:dLbls>
        <c:smooth val="0"/>
        <c:axId val="1351345536"/>
        <c:axId val="428283808"/>
      </c:lineChart>
      <c:catAx>
        <c:axId val="1351345536"/>
        <c:scaling>
          <c:orientation val="minMax"/>
        </c:scaling>
        <c:delete val="1"/>
        <c:axPos val="b"/>
        <c:majorTickMark val="none"/>
        <c:minorTickMark val="none"/>
        <c:tickLblPos val="nextTo"/>
        <c:crossAx val="428283808"/>
        <c:crosses val="autoZero"/>
        <c:auto val="1"/>
        <c:lblAlgn val="ctr"/>
        <c:lblOffset val="100"/>
        <c:noMultiLvlLbl val="0"/>
      </c:catAx>
      <c:valAx>
        <c:axId val="428283808"/>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1345536"/>
        <c:crosses val="autoZero"/>
        <c:crossBetween val="between"/>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Dabur!$B$4</c:f>
          <c:strCache>
            <c:ptCount val="1"/>
            <c:pt idx="0">
              <c:v>DABUR</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5627559055118109"/>
          <c:y val="0.14393518518518519"/>
          <c:w val="0.7170879265091864"/>
          <c:h val="0.47144247594050742"/>
        </c:manualLayout>
      </c:layout>
      <c:barChart>
        <c:barDir val="col"/>
        <c:grouping val="clustered"/>
        <c:varyColors val="0"/>
        <c:ser>
          <c:idx val="0"/>
          <c:order val="0"/>
          <c:tx>
            <c:strRef>
              <c:f>Dabur!$C$6</c:f>
              <c:strCache>
                <c:ptCount val="1"/>
                <c:pt idx="0">
                  <c:v>Volume</c:v>
                </c:pt>
              </c:strCache>
            </c:strRef>
          </c:tx>
          <c:spPr>
            <a:solidFill>
              <a:schemeClr val="accent1"/>
            </a:solidFill>
            <a:ln w="19050">
              <a:noFill/>
            </a:ln>
            <a:effectLst/>
          </c:spPr>
          <c:invertIfNegative val="0"/>
          <c:cat>
            <c:numRef>
              <c:f>Dabur!$B$7:$B$25</c:f>
              <c:numCache>
                <c:formatCode>m/d/yyyy</c:formatCode>
                <c:ptCount val="19"/>
                <c:pt idx="0">
                  <c:v>45070</c:v>
                </c:pt>
                <c:pt idx="1">
                  <c:v>45071</c:v>
                </c:pt>
                <c:pt idx="2">
                  <c:v>45072</c:v>
                </c:pt>
                <c:pt idx="3">
                  <c:v>45075</c:v>
                </c:pt>
                <c:pt idx="4">
                  <c:v>45076</c:v>
                </c:pt>
                <c:pt idx="5">
                  <c:v>45077</c:v>
                </c:pt>
                <c:pt idx="6">
                  <c:v>45078</c:v>
                </c:pt>
                <c:pt idx="7">
                  <c:v>45079</c:v>
                </c:pt>
                <c:pt idx="8">
                  <c:v>45082</c:v>
                </c:pt>
                <c:pt idx="9">
                  <c:v>45083</c:v>
                </c:pt>
                <c:pt idx="10">
                  <c:v>45084</c:v>
                </c:pt>
                <c:pt idx="11">
                  <c:v>45085</c:v>
                </c:pt>
                <c:pt idx="12">
                  <c:v>45086</c:v>
                </c:pt>
                <c:pt idx="13">
                  <c:v>45089</c:v>
                </c:pt>
                <c:pt idx="14">
                  <c:v>45090</c:v>
                </c:pt>
                <c:pt idx="15">
                  <c:v>45091</c:v>
                </c:pt>
                <c:pt idx="16">
                  <c:v>45092</c:v>
                </c:pt>
                <c:pt idx="17">
                  <c:v>45093</c:v>
                </c:pt>
                <c:pt idx="18">
                  <c:v>45096</c:v>
                </c:pt>
              </c:numCache>
            </c:numRef>
          </c:cat>
          <c:val>
            <c:numRef>
              <c:f>Dabur!$C$7:$C$25</c:f>
              <c:numCache>
                <c:formatCode>#,##0</c:formatCode>
                <c:ptCount val="19"/>
                <c:pt idx="0">
                  <c:v>2304274</c:v>
                </c:pt>
                <c:pt idx="1">
                  <c:v>2297300</c:v>
                </c:pt>
                <c:pt idx="2">
                  <c:v>2184804</c:v>
                </c:pt>
                <c:pt idx="3">
                  <c:v>2215580</c:v>
                </c:pt>
                <c:pt idx="4">
                  <c:v>2023557</c:v>
                </c:pt>
                <c:pt idx="5">
                  <c:v>4905059</c:v>
                </c:pt>
                <c:pt idx="6">
                  <c:v>1385234</c:v>
                </c:pt>
                <c:pt idx="7">
                  <c:v>1166828</c:v>
                </c:pt>
                <c:pt idx="8">
                  <c:v>1570130</c:v>
                </c:pt>
                <c:pt idx="9">
                  <c:v>2685928</c:v>
                </c:pt>
                <c:pt idx="10">
                  <c:v>2718117</c:v>
                </c:pt>
                <c:pt idx="11">
                  <c:v>1650679</c:v>
                </c:pt>
                <c:pt idx="12">
                  <c:v>2146305</c:v>
                </c:pt>
                <c:pt idx="13">
                  <c:v>1007065</c:v>
                </c:pt>
                <c:pt idx="14">
                  <c:v>2644392</c:v>
                </c:pt>
                <c:pt idx="15">
                  <c:v>1577846</c:v>
                </c:pt>
                <c:pt idx="16">
                  <c:v>2246105</c:v>
                </c:pt>
                <c:pt idx="17">
                  <c:v>2022971</c:v>
                </c:pt>
                <c:pt idx="18">
                  <c:v>1114637</c:v>
                </c:pt>
              </c:numCache>
            </c:numRef>
          </c:val>
          <c:extLst>
            <c:ext xmlns:c16="http://schemas.microsoft.com/office/drawing/2014/chart" uri="{C3380CC4-5D6E-409C-BE32-E72D297353CC}">
              <c16:uniqueId val="{00000000-D306-43B2-AA99-E9EA7E9B4E4E}"/>
            </c:ext>
          </c:extLst>
        </c:ser>
        <c:dLbls>
          <c:showLegendKey val="0"/>
          <c:showVal val="0"/>
          <c:showCatName val="0"/>
          <c:showSerName val="0"/>
          <c:showPercent val="0"/>
          <c:showBubbleSize val="0"/>
        </c:dLbls>
        <c:gapWidth val="150"/>
        <c:axId val="514429552"/>
        <c:axId val="1567969600"/>
      </c:barChart>
      <c:stockChart>
        <c:ser>
          <c:idx val="1"/>
          <c:order val="1"/>
          <c:tx>
            <c:strRef>
              <c:f>Dabur!$D$6</c:f>
              <c:strCache>
                <c:ptCount val="1"/>
                <c:pt idx="0">
                  <c:v>Open</c:v>
                </c:pt>
              </c:strCache>
            </c:strRef>
          </c:tx>
          <c:spPr>
            <a:ln w="19050" cap="rnd">
              <a:noFill/>
              <a:round/>
            </a:ln>
            <a:effectLst/>
          </c:spPr>
          <c:marker>
            <c:symbol val="none"/>
          </c:marker>
          <c:cat>
            <c:numRef>
              <c:f>Dabur!$B$7:$B$25</c:f>
              <c:numCache>
                <c:formatCode>m/d/yyyy</c:formatCode>
                <c:ptCount val="19"/>
                <c:pt idx="0">
                  <c:v>45070</c:v>
                </c:pt>
                <c:pt idx="1">
                  <c:v>45071</c:v>
                </c:pt>
                <c:pt idx="2">
                  <c:v>45072</c:v>
                </c:pt>
                <c:pt idx="3">
                  <c:v>45075</c:v>
                </c:pt>
                <c:pt idx="4">
                  <c:v>45076</c:v>
                </c:pt>
                <c:pt idx="5">
                  <c:v>45077</c:v>
                </c:pt>
                <c:pt idx="6">
                  <c:v>45078</c:v>
                </c:pt>
                <c:pt idx="7">
                  <c:v>45079</c:v>
                </c:pt>
                <c:pt idx="8">
                  <c:v>45082</c:v>
                </c:pt>
                <c:pt idx="9">
                  <c:v>45083</c:v>
                </c:pt>
                <c:pt idx="10">
                  <c:v>45084</c:v>
                </c:pt>
                <c:pt idx="11">
                  <c:v>45085</c:v>
                </c:pt>
                <c:pt idx="12">
                  <c:v>45086</c:v>
                </c:pt>
                <c:pt idx="13">
                  <c:v>45089</c:v>
                </c:pt>
                <c:pt idx="14">
                  <c:v>45090</c:v>
                </c:pt>
                <c:pt idx="15">
                  <c:v>45091</c:v>
                </c:pt>
                <c:pt idx="16">
                  <c:v>45092</c:v>
                </c:pt>
                <c:pt idx="17">
                  <c:v>45093</c:v>
                </c:pt>
                <c:pt idx="18">
                  <c:v>45096</c:v>
                </c:pt>
              </c:numCache>
            </c:numRef>
          </c:cat>
          <c:val>
            <c:numRef>
              <c:f>Dabur!$D$7:$D$25</c:f>
              <c:numCache>
                <c:formatCode>_ [$₹-4009]\ * #,##0.00_ ;_ [$₹-4009]\ * \-#,##0.00_ ;_ [$₹-4009]\ * "-"??_ ;_ @_ </c:formatCode>
                <c:ptCount val="19"/>
                <c:pt idx="0">
                  <c:v>526.79999999999995</c:v>
                </c:pt>
                <c:pt idx="1">
                  <c:v>526.70000000000005</c:v>
                </c:pt>
                <c:pt idx="2">
                  <c:v>529.54999999999995</c:v>
                </c:pt>
                <c:pt idx="3">
                  <c:v>545.95000000000005</c:v>
                </c:pt>
                <c:pt idx="4">
                  <c:v>550</c:v>
                </c:pt>
                <c:pt idx="5">
                  <c:v>548.5</c:v>
                </c:pt>
                <c:pt idx="6">
                  <c:v>555.45000000000005</c:v>
                </c:pt>
                <c:pt idx="7">
                  <c:v>557.5</c:v>
                </c:pt>
                <c:pt idx="8">
                  <c:v>558.54999999999995</c:v>
                </c:pt>
                <c:pt idx="9">
                  <c:v>553.54999999999995</c:v>
                </c:pt>
                <c:pt idx="10">
                  <c:v>548.95000000000005</c:v>
                </c:pt>
                <c:pt idx="11">
                  <c:v>559</c:v>
                </c:pt>
                <c:pt idx="12">
                  <c:v>555.65</c:v>
                </c:pt>
                <c:pt idx="13">
                  <c:v>549</c:v>
                </c:pt>
                <c:pt idx="14">
                  <c:v>553.6</c:v>
                </c:pt>
                <c:pt idx="15">
                  <c:v>561</c:v>
                </c:pt>
                <c:pt idx="16">
                  <c:v>562.35</c:v>
                </c:pt>
                <c:pt idx="17">
                  <c:v>573</c:v>
                </c:pt>
                <c:pt idx="18">
                  <c:v>571.1</c:v>
                </c:pt>
              </c:numCache>
            </c:numRef>
          </c:val>
          <c:smooth val="0"/>
          <c:extLst>
            <c:ext xmlns:c16="http://schemas.microsoft.com/office/drawing/2014/chart" uri="{C3380CC4-5D6E-409C-BE32-E72D297353CC}">
              <c16:uniqueId val="{00000001-D306-43B2-AA99-E9EA7E9B4E4E}"/>
            </c:ext>
          </c:extLst>
        </c:ser>
        <c:ser>
          <c:idx val="2"/>
          <c:order val="2"/>
          <c:tx>
            <c:strRef>
              <c:f>Dabur!$E$6</c:f>
              <c:strCache>
                <c:ptCount val="1"/>
                <c:pt idx="0">
                  <c:v>High</c:v>
                </c:pt>
              </c:strCache>
            </c:strRef>
          </c:tx>
          <c:spPr>
            <a:ln w="19050" cap="rnd">
              <a:noFill/>
              <a:round/>
            </a:ln>
            <a:effectLst/>
          </c:spPr>
          <c:marker>
            <c:symbol val="none"/>
          </c:marker>
          <c:cat>
            <c:numRef>
              <c:f>Dabur!$B$7:$B$25</c:f>
              <c:numCache>
                <c:formatCode>m/d/yyyy</c:formatCode>
                <c:ptCount val="19"/>
                <c:pt idx="0">
                  <c:v>45070</c:v>
                </c:pt>
                <c:pt idx="1">
                  <c:v>45071</c:v>
                </c:pt>
                <c:pt idx="2">
                  <c:v>45072</c:v>
                </c:pt>
                <c:pt idx="3">
                  <c:v>45075</c:v>
                </c:pt>
                <c:pt idx="4">
                  <c:v>45076</c:v>
                </c:pt>
                <c:pt idx="5">
                  <c:v>45077</c:v>
                </c:pt>
                <c:pt idx="6">
                  <c:v>45078</c:v>
                </c:pt>
                <c:pt idx="7">
                  <c:v>45079</c:v>
                </c:pt>
                <c:pt idx="8">
                  <c:v>45082</c:v>
                </c:pt>
                <c:pt idx="9">
                  <c:v>45083</c:v>
                </c:pt>
                <c:pt idx="10">
                  <c:v>45084</c:v>
                </c:pt>
                <c:pt idx="11">
                  <c:v>45085</c:v>
                </c:pt>
                <c:pt idx="12">
                  <c:v>45086</c:v>
                </c:pt>
                <c:pt idx="13">
                  <c:v>45089</c:v>
                </c:pt>
                <c:pt idx="14">
                  <c:v>45090</c:v>
                </c:pt>
                <c:pt idx="15">
                  <c:v>45091</c:v>
                </c:pt>
                <c:pt idx="16">
                  <c:v>45092</c:v>
                </c:pt>
                <c:pt idx="17">
                  <c:v>45093</c:v>
                </c:pt>
                <c:pt idx="18">
                  <c:v>45096</c:v>
                </c:pt>
              </c:numCache>
            </c:numRef>
          </c:cat>
          <c:val>
            <c:numRef>
              <c:f>Dabur!$E$7:$E$25</c:f>
              <c:numCache>
                <c:formatCode>_ [$₹-4009]\ * #,##0.00_ ;_ [$₹-4009]\ * \-#,##0.00_ ;_ [$₹-4009]\ * "-"??_ ;_ @_ </c:formatCode>
                <c:ptCount val="19"/>
                <c:pt idx="0">
                  <c:v>528.5</c:v>
                </c:pt>
                <c:pt idx="1">
                  <c:v>533.54999999999995</c:v>
                </c:pt>
                <c:pt idx="2">
                  <c:v>543.70000000000005</c:v>
                </c:pt>
                <c:pt idx="3">
                  <c:v>550</c:v>
                </c:pt>
                <c:pt idx="4">
                  <c:v>552.9</c:v>
                </c:pt>
                <c:pt idx="5">
                  <c:v>558</c:v>
                </c:pt>
                <c:pt idx="6">
                  <c:v>563.9</c:v>
                </c:pt>
                <c:pt idx="7">
                  <c:v>560</c:v>
                </c:pt>
                <c:pt idx="8">
                  <c:v>563</c:v>
                </c:pt>
                <c:pt idx="9">
                  <c:v>554.35</c:v>
                </c:pt>
                <c:pt idx="10">
                  <c:v>558.20000000000005</c:v>
                </c:pt>
                <c:pt idx="11">
                  <c:v>560</c:v>
                </c:pt>
                <c:pt idx="12">
                  <c:v>556.5</c:v>
                </c:pt>
                <c:pt idx="13">
                  <c:v>555.70000000000005</c:v>
                </c:pt>
                <c:pt idx="14">
                  <c:v>562.9</c:v>
                </c:pt>
                <c:pt idx="15">
                  <c:v>563.5</c:v>
                </c:pt>
                <c:pt idx="16">
                  <c:v>570.5</c:v>
                </c:pt>
                <c:pt idx="17">
                  <c:v>573</c:v>
                </c:pt>
                <c:pt idx="18">
                  <c:v>573</c:v>
                </c:pt>
              </c:numCache>
            </c:numRef>
          </c:val>
          <c:smooth val="0"/>
          <c:extLst>
            <c:ext xmlns:c16="http://schemas.microsoft.com/office/drawing/2014/chart" uri="{C3380CC4-5D6E-409C-BE32-E72D297353CC}">
              <c16:uniqueId val="{00000002-D306-43B2-AA99-E9EA7E9B4E4E}"/>
            </c:ext>
          </c:extLst>
        </c:ser>
        <c:ser>
          <c:idx val="3"/>
          <c:order val="3"/>
          <c:tx>
            <c:strRef>
              <c:f>Dabur!$F$6</c:f>
              <c:strCache>
                <c:ptCount val="1"/>
                <c:pt idx="0">
                  <c:v>Low</c:v>
                </c:pt>
              </c:strCache>
            </c:strRef>
          </c:tx>
          <c:spPr>
            <a:ln w="19050" cap="rnd">
              <a:noFill/>
              <a:round/>
            </a:ln>
            <a:effectLst/>
          </c:spPr>
          <c:marker>
            <c:symbol val="none"/>
          </c:marker>
          <c:cat>
            <c:numRef>
              <c:f>Dabur!$B$7:$B$25</c:f>
              <c:numCache>
                <c:formatCode>m/d/yyyy</c:formatCode>
                <c:ptCount val="19"/>
                <c:pt idx="0">
                  <c:v>45070</c:v>
                </c:pt>
                <c:pt idx="1">
                  <c:v>45071</c:v>
                </c:pt>
                <c:pt idx="2">
                  <c:v>45072</c:v>
                </c:pt>
                <c:pt idx="3">
                  <c:v>45075</c:v>
                </c:pt>
                <c:pt idx="4">
                  <c:v>45076</c:v>
                </c:pt>
                <c:pt idx="5">
                  <c:v>45077</c:v>
                </c:pt>
                <c:pt idx="6">
                  <c:v>45078</c:v>
                </c:pt>
                <c:pt idx="7">
                  <c:v>45079</c:v>
                </c:pt>
                <c:pt idx="8">
                  <c:v>45082</c:v>
                </c:pt>
                <c:pt idx="9">
                  <c:v>45083</c:v>
                </c:pt>
                <c:pt idx="10">
                  <c:v>45084</c:v>
                </c:pt>
                <c:pt idx="11">
                  <c:v>45085</c:v>
                </c:pt>
                <c:pt idx="12">
                  <c:v>45086</c:v>
                </c:pt>
                <c:pt idx="13">
                  <c:v>45089</c:v>
                </c:pt>
                <c:pt idx="14">
                  <c:v>45090</c:v>
                </c:pt>
                <c:pt idx="15">
                  <c:v>45091</c:v>
                </c:pt>
                <c:pt idx="16">
                  <c:v>45092</c:v>
                </c:pt>
                <c:pt idx="17">
                  <c:v>45093</c:v>
                </c:pt>
                <c:pt idx="18">
                  <c:v>45096</c:v>
                </c:pt>
              </c:numCache>
            </c:numRef>
          </c:cat>
          <c:val>
            <c:numRef>
              <c:f>Dabur!$F$7:$F$25</c:f>
              <c:numCache>
                <c:formatCode>_ [$₹-4009]\ * #,##0.00_ ;_ [$₹-4009]\ * \-#,##0.00_ ;_ [$₹-4009]\ * "-"??_ ;_ @_ </c:formatCode>
                <c:ptCount val="19"/>
                <c:pt idx="0">
                  <c:v>522.25</c:v>
                </c:pt>
                <c:pt idx="1">
                  <c:v>525.54999999999995</c:v>
                </c:pt>
                <c:pt idx="2">
                  <c:v>528.5</c:v>
                </c:pt>
                <c:pt idx="3">
                  <c:v>542.4</c:v>
                </c:pt>
                <c:pt idx="4">
                  <c:v>546.70000000000005</c:v>
                </c:pt>
                <c:pt idx="5">
                  <c:v>546.04999999999995</c:v>
                </c:pt>
                <c:pt idx="6">
                  <c:v>553.25</c:v>
                </c:pt>
                <c:pt idx="7">
                  <c:v>555.85</c:v>
                </c:pt>
                <c:pt idx="8">
                  <c:v>551.54999999999995</c:v>
                </c:pt>
                <c:pt idx="9">
                  <c:v>541.54999999999995</c:v>
                </c:pt>
                <c:pt idx="10">
                  <c:v>546.20000000000005</c:v>
                </c:pt>
                <c:pt idx="11">
                  <c:v>551.29999999999995</c:v>
                </c:pt>
                <c:pt idx="12">
                  <c:v>546.6</c:v>
                </c:pt>
                <c:pt idx="13">
                  <c:v>546.65</c:v>
                </c:pt>
                <c:pt idx="14">
                  <c:v>551.29999999999995</c:v>
                </c:pt>
                <c:pt idx="15">
                  <c:v>557.75</c:v>
                </c:pt>
                <c:pt idx="16">
                  <c:v>561.54999999999995</c:v>
                </c:pt>
                <c:pt idx="17">
                  <c:v>565.25</c:v>
                </c:pt>
                <c:pt idx="18">
                  <c:v>566.65</c:v>
                </c:pt>
              </c:numCache>
            </c:numRef>
          </c:val>
          <c:smooth val="0"/>
          <c:extLst>
            <c:ext xmlns:c16="http://schemas.microsoft.com/office/drawing/2014/chart" uri="{C3380CC4-5D6E-409C-BE32-E72D297353CC}">
              <c16:uniqueId val="{00000003-D306-43B2-AA99-E9EA7E9B4E4E}"/>
            </c:ext>
          </c:extLst>
        </c:ser>
        <c:ser>
          <c:idx val="4"/>
          <c:order val="4"/>
          <c:tx>
            <c:strRef>
              <c:f>Dabur!$G$6</c:f>
              <c:strCache>
                <c:ptCount val="1"/>
                <c:pt idx="0">
                  <c:v>Close</c:v>
                </c:pt>
              </c:strCache>
            </c:strRef>
          </c:tx>
          <c:spPr>
            <a:ln w="19050" cap="rnd">
              <a:noFill/>
              <a:round/>
            </a:ln>
            <a:effectLst/>
          </c:spPr>
          <c:marker>
            <c:symbol val="none"/>
          </c:marker>
          <c:cat>
            <c:numRef>
              <c:f>Dabur!$B$7:$B$25</c:f>
              <c:numCache>
                <c:formatCode>m/d/yyyy</c:formatCode>
                <c:ptCount val="19"/>
                <c:pt idx="0">
                  <c:v>45070</c:v>
                </c:pt>
                <c:pt idx="1">
                  <c:v>45071</c:v>
                </c:pt>
                <c:pt idx="2">
                  <c:v>45072</c:v>
                </c:pt>
                <c:pt idx="3">
                  <c:v>45075</c:v>
                </c:pt>
                <c:pt idx="4">
                  <c:v>45076</c:v>
                </c:pt>
                <c:pt idx="5">
                  <c:v>45077</c:v>
                </c:pt>
                <c:pt idx="6">
                  <c:v>45078</c:v>
                </c:pt>
                <c:pt idx="7">
                  <c:v>45079</c:v>
                </c:pt>
                <c:pt idx="8">
                  <c:v>45082</c:v>
                </c:pt>
                <c:pt idx="9">
                  <c:v>45083</c:v>
                </c:pt>
                <c:pt idx="10">
                  <c:v>45084</c:v>
                </c:pt>
                <c:pt idx="11">
                  <c:v>45085</c:v>
                </c:pt>
                <c:pt idx="12">
                  <c:v>45086</c:v>
                </c:pt>
                <c:pt idx="13">
                  <c:v>45089</c:v>
                </c:pt>
                <c:pt idx="14">
                  <c:v>45090</c:v>
                </c:pt>
                <c:pt idx="15">
                  <c:v>45091</c:v>
                </c:pt>
                <c:pt idx="16">
                  <c:v>45092</c:v>
                </c:pt>
                <c:pt idx="17">
                  <c:v>45093</c:v>
                </c:pt>
                <c:pt idx="18">
                  <c:v>45096</c:v>
                </c:pt>
              </c:numCache>
            </c:numRef>
          </c:cat>
          <c:val>
            <c:numRef>
              <c:f>Dabur!$G$7:$G$25</c:f>
              <c:numCache>
                <c:formatCode>_ [$₹-4009]\ * #,##0.00_ ;_ [$₹-4009]\ * \-#,##0.00_ ;_ [$₹-4009]\ * "-"??_ ;_ @_ </c:formatCode>
                <c:ptCount val="19"/>
                <c:pt idx="0">
                  <c:v>526.70000000000005</c:v>
                </c:pt>
                <c:pt idx="1">
                  <c:v>530.15</c:v>
                </c:pt>
                <c:pt idx="2">
                  <c:v>542.1</c:v>
                </c:pt>
                <c:pt idx="3">
                  <c:v>548.35</c:v>
                </c:pt>
                <c:pt idx="4">
                  <c:v>549.9</c:v>
                </c:pt>
                <c:pt idx="5">
                  <c:v>555.4</c:v>
                </c:pt>
                <c:pt idx="6">
                  <c:v>556.9</c:v>
                </c:pt>
                <c:pt idx="7">
                  <c:v>557.20000000000005</c:v>
                </c:pt>
                <c:pt idx="8">
                  <c:v>552.25</c:v>
                </c:pt>
                <c:pt idx="9">
                  <c:v>547.5</c:v>
                </c:pt>
                <c:pt idx="10">
                  <c:v>556.5</c:v>
                </c:pt>
                <c:pt idx="11">
                  <c:v>552.1</c:v>
                </c:pt>
                <c:pt idx="12">
                  <c:v>549.95000000000005</c:v>
                </c:pt>
                <c:pt idx="13">
                  <c:v>553.6</c:v>
                </c:pt>
                <c:pt idx="14">
                  <c:v>560.45000000000005</c:v>
                </c:pt>
                <c:pt idx="15">
                  <c:v>562.35</c:v>
                </c:pt>
                <c:pt idx="16">
                  <c:v>569.04999999999995</c:v>
                </c:pt>
                <c:pt idx="17">
                  <c:v>570.9</c:v>
                </c:pt>
                <c:pt idx="18">
                  <c:v>569.15</c:v>
                </c:pt>
              </c:numCache>
            </c:numRef>
          </c:val>
          <c:smooth val="0"/>
          <c:extLst>
            <c:ext xmlns:c16="http://schemas.microsoft.com/office/drawing/2014/chart" uri="{C3380CC4-5D6E-409C-BE32-E72D297353CC}">
              <c16:uniqueId val="{00000004-D306-43B2-AA99-E9EA7E9B4E4E}"/>
            </c:ext>
          </c:extLst>
        </c:ser>
        <c:dLbls>
          <c:showLegendKey val="0"/>
          <c:showVal val="0"/>
          <c:showCatName val="0"/>
          <c:showSerName val="0"/>
          <c:showPercent val="0"/>
          <c:showBubbleSize val="0"/>
        </c:dLbls>
        <c:hiLowLines>
          <c:spPr>
            <a:ln w="9525" cap="flat" cmpd="sng" algn="ctr">
              <a:solidFill>
                <a:schemeClr val="tx1">
                  <a:lumMod val="75000"/>
                  <a:lumOff val="25000"/>
                </a:schemeClr>
              </a:solidFill>
              <a:round/>
            </a:ln>
            <a:effectLst/>
          </c:spPr>
        </c:hiLowLines>
        <c:upDownBars>
          <c:gapWidth val="150"/>
          <c:upBars>
            <c:spPr>
              <a:solidFill>
                <a:schemeClr val="lt1"/>
              </a:solidFill>
              <a:ln w="9525" cap="flat" cmpd="sng" algn="ctr">
                <a:solidFill>
                  <a:schemeClr val="tx1">
                    <a:lumMod val="65000"/>
                    <a:lumOff val="35000"/>
                  </a:schemeClr>
                </a:solidFill>
                <a:round/>
              </a:ln>
              <a:effectLst/>
            </c:spPr>
          </c:upBars>
          <c:downBars>
            <c:spPr>
              <a:solidFill>
                <a:schemeClr val="dk1">
                  <a:lumMod val="75000"/>
                  <a:lumOff val="25000"/>
                </a:schemeClr>
              </a:solidFill>
              <a:ln w="9525" cap="flat" cmpd="sng" algn="ctr">
                <a:solidFill>
                  <a:schemeClr val="tx1">
                    <a:lumMod val="65000"/>
                    <a:lumOff val="35000"/>
                  </a:schemeClr>
                </a:solidFill>
                <a:round/>
              </a:ln>
              <a:effectLst/>
            </c:spPr>
          </c:downBars>
        </c:upDownBars>
        <c:axId val="514455536"/>
        <c:axId val="1124445632"/>
      </c:stockChart>
      <c:dateAx>
        <c:axId val="514429552"/>
        <c:scaling>
          <c:orientation val="minMax"/>
        </c:scaling>
        <c:delete val="0"/>
        <c:axPos val="b"/>
        <c:numFmt formatCode="d\-mmm"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7969600"/>
        <c:crosses val="autoZero"/>
        <c:auto val="1"/>
        <c:lblOffset val="100"/>
        <c:baseTimeUnit val="days"/>
      </c:dateAx>
      <c:valAx>
        <c:axId val="1567969600"/>
        <c:scaling>
          <c:orientation val="minMax"/>
        </c:scaling>
        <c:delete val="0"/>
        <c:axPos val="l"/>
        <c:majorGridlines>
          <c:spPr>
            <a:ln w="9525" cap="flat" cmpd="sng" algn="ctr">
              <a:solidFill>
                <a:schemeClr val="tx1">
                  <a:lumMod val="15000"/>
                  <a:lumOff val="85000"/>
                </a:schemeClr>
              </a:solidFill>
              <a:round/>
            </a:ln>
            <a:effectLst/>
          </c:spPr>
        </c:majorGridlines>
        <c:numFmt formatCode="#\ ##0\ 0,,\ &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4429552"/>
        <c:crosses val="autoZero"/>
        <c:crossBetween val="between"/>
      </c:valAx>
      <c:valAx>
        <c:axId val="1124445632"/>
        <c:scaling>
          <c:orientation val="minMax"/>
        </c:scaling>
        <c:delete val="0"/>
        <c:axPos val="r"/>
        <c:majorGridlines>
          <c:spPr>
            <a:ln w="9525" cap="flat" cmpd="sng" algn="ctr">
              <a:solidFill>
                <a:schemeClr val="tx1">
                  <a:lumMod val="15000"/>
                  <a:lumOff val="85000"/>
                </a:schemeClr>
              </a:solidFill>
              <a:round/>
            </a:ln>
            <a:effectLst/>
          </c:spPr>
        </c:majorGridlines>
        <c:numFmt formatCode="_ [$₹-4009]\ * #,##0.00_ ;_ [$₹-4009]\ * \-#,##0.00_ ;_ [$₹-4009]\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4455536"/>
        <c:crosses val="max"/>
        <c:crossBetween val="between"/>
      </c:valAx>
      <c:dateAx>
        <c:axId val="514455536"/>
        <c:scaling>
          <c:orientation val="minMax"/>
        </c:scaling>
        <c:delete val="1"/>
        <c:axPos val="b"/>
        <c:numFmt formatCode="m/d/yyyy" sourceLinked="1"/>
        <c:majorTickMark val="out"/>
        <c:minorTickMark val="none"/>
        <c:tickLblPos val="nextTo"/>
        <c:crossAx val="1124445632"/>
        <c:crosses val="autoZero"/>
        <c:auto val="1"/>
        <c:lblOffset val="100"/>
        <c:baseTimeUnit val="days"/>
      </c:date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800" b="0" i="0" baseline="0">
                <a:effectLst/>
              </a:rPr>
              <a:t>Price variation - last year</a:t>
            </a:r>
            <a:endParaRPr lang="en-IN">
              <a:effectLs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cked"/>
        <c:varyColors val="0"/>
        <c:ser>
          <c:idx val="0"/>
          <c:order val="0"/>
          <c:spPr>
            <a:ln w="28575" cap="rnd">
              <a:solidFill>
                <a:schemeClr val="accent1"/>
              </a:solidFill>
              <a:round/>
            </a:ln>
            <a:effectLst/>
          </c:spPr>
          <c:marker>
            <c:symbol val="none"/>
          </c:marker>
          <c:val>
            <c:numRef>
              <c:f>Dabur!$C$4:$IQ$4</c:f>
              <c:numCache>
                <c:formatCode>_ [$₹-4009]\ * #,##0.00_ ;_ [$₹-4009]\ * \-#,##0.00_ ;_ [$₹-4009]\ * "-"??_ ;_ @_ </c:formatCode>
                <c:ptCount val="249"/>
                <c:pt idx="0">
                  <c:v>505.15</c:v>
                </c:pt>
                <c:pt idx="1">
                  <c:v>509.75</c:v>
                </c:pt>
                <c:pt idx="2">
                  <c:v>515.70000000000005</c:v>
                </c:pt>
                <c:pt idx="3">
                  <c:v>512.1</c:v>
                </c:pt>
                <c:pt idx="4">
                  <c:v>501.2</c:v>
                </c:pt>
                <c:pt idx="5">
                  <c:v>495.95</c:v>
                </c:pt>
                <c:pt idx="6">
                  <c:v>511.25</c:v>
                </c:pt>
                <c:pt idx="7">
                  <c:v>525</c:v>
                </c:pt>
                <c:pt idx="8">
                  <c:v>530.70000000000005</c:v>
                </c:pt>
                <c:pt idx="9">
                  <c:v>542.95000000000005</c:v>
                </c:pt>
                <c:pt idx="10">
                  <c:v>543.54999999999995</c:v>
                </c:pt>
                <c:pt idx="11">
                  <c:v>543.9</c:v>
                </c:pt>
                <c:pt idx="12">
                  <c:v>545.4</c:v>
                </c:pt>
                <c:pt idx="13">
                  <c:v>543.45000000000005</c:v>
                </c:pt>
                <c:pt idx="14">
                  <c:v>545.29999999999995</c:v>
                </c:pt>
                <c:pt idx="15">
                  <c:v>549.25</c:v>
                </c:pt>
                <c:pt idx="16">
                  <c:v>548.35</c:v>
                </c:pt>
                <c:pt idx="17">
                  <c:v>550.1</c:v>
                </c:pt>
                <c:pt idx="18">
                  <c:v>549.45000000000005</c:v>
                </c:pt>
                <c:pt idx="19">
                  <c:v>558.25</c:v>
                </c:pt>
                <c:pt idx="20">
                  <c:v>571.95000000000005</c:v>
                </c:pt>
                <c:pt idx="21">
                  <c:v>576.29999999999995</c:v>
                </c:pt>
                <c:pt idx="22">
                  <c:v>567.9</c:v>
                </c:pt>
                <c:pt idx="23">
                  <c:v>558.25</c:v>
                </c:pt>
                <c:pt idx="24">
                  <c:v>567.75</c:v>
                </c:pt>
                <c:pt idx="25">
                  <c:v>572.70000000000005</c:v>
                </c:pt>
                <c:pt idx="26">
                  <c:v>584.1</c:v>
                </c:pt>
                <c:pt idx="27">
                  <c:v>580.79999999999995</c:v>
                </c:pt>
                <c:pt idx="28">
                  <c:v>578.25</c:v>
                </c:pt>
                <c:pt idx="29">
                  <c:v>569.79999999999995</c:v>
                </c:pt>
                <c:pt idx="30">
                  <c:v>573.9</c:v>
                </c:pt>
                <c:pt idx="31">
                  <c:v>579.15</c:v>
                </c:pt>
                <c:pt idx="32">
                  <c:v>586.5</c:v>
                </c:pt>
                <c:pt idx="33">
                  <c:v>584.95000000000005</c:v>
                </c:pt>
                <c:pt idx="34">
                  <c:v>582.70000000000005</c:v>
                </c:pt>
                <c:pt idx="35">
                  <c:v>581.6</c:v>
                </c:pt>
                <c:pt idx="36">
                  <c:v>579.6</c:v>
                </c:pt>
                <c:pt idx="37">
                  <c:v>584.95000000000005</c:v>
                </c:pt>
                <c:pt idx="38">
                  <c:v>594.6</c:v>
                </c:pt>
                <c:pt idx="39">
                  <c:v>587.20000000000005</c:v>
                </c:pt>
                <c:pt idx="40">
                  <c:v>584.20000000000005</c:v>
                </c:pt>
                <c:pt idx="41">
                  <c:v>588.1</c:v>
                </c:pt>
                <c:pt idx="42">
                  <c:v>587.1</c:v>
                </c:pt>
                <c:pt idx="43">
                  <c:v>579.70000000000005</c:v>
                </c:pt>
                <c:pt idx="44">
                  <c:v>572</c:v>
                </c:pt>
                <c:pt idx="45">
                  <c:v>573.04999999999995</c:v>
                </c:pt>
                <c:pt idx="46">
                  <c:v>583.6</c:v>
                </c:pt>
                <c:pt idx="47">
                  <c:v>569.6</c:v>
                </c:pt>
                <c:pt idx="48">
                  <c:v>570.70000000000005</c:v>
                </c:pt>
                <c:pt idx="49">
                  <c:v>570.1</c:v>
                </c:pt>
                <c:pt idx="50">
                  <c:v>571</c:v>
                </c:pt>
                <c:pt idx="51">
                  <c:v>572.35</c:v>
                </c:pt>
                <c:pt idx="52">
                  <c:v>570.4</c:v>
                </c:pt>
                <c:pt idx="53">
                  <c:v>574.9</c:v>
                </c:pt>
                <c:pt idx="54">
                  <c:v>570.4</c:v>
                </c:pt>
                <c:pt idx="55">
                  <c:v>571</c:v>
                </c:pt>
                <c:pt idx="56">
                  <c:v>567</c:v>
                </c:pt>
                <c:pt idx="57">
                  <c:v>563.45000000000005</c:v>
                </c:pt>
                <c:pt idx="58">
                  <c:v>546.4</c:v>
                </c:pt>
                <c:pt idx="59">
                  <c:v>548.15</c:v>
                </c:pt>
                <c:pt idx="60">
                  <c:v>556.79999999999995</c:v>
                </c:pt>
                <c:pt idx="61">
                  <c:v>561.5</c:v>
                </c:pt>
                <c:pt idx="62">
                  <c:v>575.65</c:v>
                </c:pt>
                <c:pt idx="63">
                  <c:v>568.54999999999995</c:v>
                </c:pt>
                <c:pt idx="64">
                  <c:v>556.20000000000005</c:v>
                </c:pt>
                <c:pt idx="65">
                  <c:v>560.5</c:v>
                </c:pt>
                <c:pt idx="66">
                  <c:v>564.04999999999995</c:v>
                </c:pt>
                <c:pt idx="67">
                  <c:v>575.75</c:v>
                </c:pt>
                <c:pt idx="68">
                  <c:v>572.95000000000005</c:v>
                </c:pt>
                <c:pt idx="69">
                  <c:v>557.15</c:v>
                </c:pt>
                <c:pt idx="70">
                  <c:v>553.79999999999995</c:v>
                </c:pt>
                <c:pt idx="71">
                  <c:v>546.4</c:v>
                </c:pt>
                <c:pt idx="72">
                  <c:v>540.15</c:v>
                </c:pt>
                <c:pt idx="73">
                  <c:v>529.1</c:v>
                </c:pt>
                <c:pt idx="74">
                  <c:v>518.95000000000005</c:v>
                </c:pt>
                <c:pt idx="75">
                  <c:v>533.6</c:v>
                </c:pt>
                <c:pt idx="76">
                  <c:v>530</c:v>
                </c:pt>
                <c:pt idx="77">
                  <c:v>531.35</c:v>
                </c:pt>
                <c:pt idx="78">
                  <c:v>529.95000000000005</c:v>
                </c:pt>
                <c:pt idx="79">
                  <c:v>531.35</c:v>
                </c:pt>
                <c:pt idx="80">
                  <c:v>526.1</c:v>
                </c:pt>
                <c:pt idx="81">
                  <c:v>535.95000000000005</c:v>
                </c:pt>
                <c:pt idx="82">
                  <c:v>537.95000000000005</c:v>
                </c:pt>
                <c:pt idx="83">
                  <c:v>536.85</c:v>
                </c:pt>
                <c:pt idx="84">
                  <c:v>532.15</c:v>
                </c:pt>
                <c:pt idx="85">
                  <c:v>549.04999999999995</c:v>
                </c:pt>
                <c:pt idx="86">
                  <c:v>551.04999999999995</c:v>
                </c:pt>
                <c:pt idx="87">
                  <c:v>554.70000000000005</c:v>
                </c:pt>
                <c:pt idx="88">
                  <c:v>563.79999999999995</c:v>
                </c:pt>
                <c:pt idx="89">
                  <c:v>562.25</c:v>
                </c:pt>
                <c:pt idx="90">
                  <c:v>555.9</c:v>
                </c:pt>
                <c:pt idx="91">
                  <c:v>557.5</c:v>
                </c:pt>
                <c:pt idx="92">
                  <c:v>553.6</c:v>
                </c:pt>
                <c:pt idx="93">
                  <c:v>554.15</c:v>
                </c:pt>
                <c:pt idx="94">
                  <c:v>553.9</c:v>
                </c:pt>
                <c:pt idx="95">
                  <c:v>553.1</c:v>
                </c:pt>
                <c:pt idx="96">
                  <c:v>553.20000000000005</c:v>
                </c:pt>
                <c:pt idx="97">
                  <c:v>550.75</c:v>
                </c:pt>
                <c:pt idx="98">
                  <c:v>550.04999999999995</c:v>
                </c:pt>
                <c:pt idx="99">
                  <c:v>551.9</c:v>
                </c:pt>
                <c:pt idx="100">
                  <c:v>548.5</c:v>
                </c:pt>
                <c:pt idx="101">
                  <c:v>550.79999999999995</c:v>
                </c:pt>
                <c:pt idx="102">
                  <c:v>546.45000000000005</c:v>
                </c:pt>
                <c:pt idx="103">
                  <c:v>551.4</c:v>
                </c:pt>
                <c:pt idx="104">
                  <c:v>553.6</c:v>
                </c:pt>
                <c:pt idx="105">
                  <c:v>556.54999999999995</c:v>
                </c:pt>
                <c:pt idx="106">
                  <c:v>558.6</c:v>
                </c:pt>
                <c:pt idx="107">
                  <c:v>593.1</c:v>
                </c:pt>
                <c:pt idx="108">
                  <c:v>588.35</c:v>
                </c:pt>
                <c:pt idx="109">
                  <c:v>586.79999999999995</c:v>
                </c:pt>
                <c:pt idx="110">
                  <c:v>591.15</c:v>
                </c:pt>
                <c:pt idx="111">
                  <c:v>587.1</c:v>
                </c:pt>
                <c:pt idx="112">
                  <c:v>592.6</c:v>
                </c:pt>
                <c:pt idx="113">
                  <c:v>602.25</c:v>
                </c:pt>
                <c:pt idx="114">
                  <c:v>604.4</c:v>
                </c:pt>
                <c:pt idx="115">
                  <c:v>598.75</c:v>
                </c:pt>
                <c:pt idx="116">
                  <c:v>602.45000000000005</c:v>
                </c:pt>
                <c:pt idx="117">
                  <c:v>594.20000000000005</c:v>
                </c:pt>
                <c:pt idx="118">
                  <c:v>587.1</c:v>
                </c:pt>
                <c:pt idx="119">
                  <c:v>586.9</c:v>
                </c:pt>
                <c:pt idx="120">
                  <c:v>579.75</c:v>
                </c:pt>
                <c:pt idx="121">
                  <c:v>589.04999999999995</c:v>
                </c:pt>
                <c:pt idx="122">
                  <c:v>579.5</c:v>
                </c:pt>
                <c:pt idx="123">
                  <c:v>577.25</c:v>
                </c:pt>
                <c:pt idx="124">
                  <c:v>577.75</c:v>
                </c:pt>
                <c:pt idx="125">
                  <c:v>565.85</c:v>
                </c:pt>
                <c:pt idx="126">
                  <c:v>566.1</c:v>
                </c:pt>
                <c:pt idx="127">
                  <c:v>573.5</c:v>
                </c:pt>
                <c:pt idx="128">
                  <c:v>569.15</c:v>
                </c:pt>
                <c:pt idx="129">
                  <c:v>560.95000000000005</c:v>
                </c:pt>
                <c:pt idx="130">
                  <c:v>561.45000000000005</c:v>
                </c:pt>
                <c:pt idx="131">
                  <c:v>561.54999999999995</c:v>
                </c:pt>
                <c:pt idx="132">
                  <c:v>560.85</c:v>
                </c:pt>
                <c:pt idx="133">
                  <c:v>559.85</c:v>
                </c:pt>
                <c:pt idx="134">
                  <c:v>572.75</c:v>
                </c:pt>
                <c:pt idx="135">
                  <c:v>552.85</c:v>
                </c:pt>
                <c:pt idx="136">
                  <c:v>549.54999999999995</c:v>
                </c:pt>
                <c:pt idx="137">
                  <c:v>554.6</c:v>
                </c:pt>
                <c:pt idx="138">
                  <c:v>548.35</c:v>
                </c:pt>
                <c:pt idx="139">
                  <c:v>544.95000000000005</c:v>
                </c:pt>
                <c:pt idx="140">
                  <c:v>543.70000000000005</c:v>
                </c:pt>
                <c:pt idx="141">
                  <c:v>553.04999999999995</c:v>
                </c:pt>
                <c:pt idx="142">
                  <c:v>556.54999999999995</c:v>
                </c:pt>
                <c:pt idx="143">
                  <c:v>557.6</c:v>
                </c:pt>
                <c:pt idx="144">
                  <c:v>554.95000000000005</c:v>
                </c:pt>
                <c:pt idx="145">
                  <c:v>566</c:v>
                </c:pt>
                <c:pt idx="146">
                  <c:v>564.4</c:v>
                </c:pt>
                <c:pt idx="147">
                  <c:v>566.95000000000005</c:v>
                </c:pt>
                <c:pt idx="148">
                  <c:v>563.29999999999995</c:v>
                </c:pt>
                <c:pt idx="149">
                  <c:v>562.04999999999995</c:v>
                </c:pt>
                <c:pt idx="150">
                  <c:v>558.04999999999995</c:v>
                </c:pt>
                <c:pt idx="151">
                  <c:v>557.75</c:v>
                </c:pt>
                <c:pt idx="152">
                  <c:v>561.95000000000005</c:v>
                </c:pt>
                <c:pt idx="153">
                  <c:v>554.45000000000005</c:v>
                </c:pt>
                <c:pt idx="154">
                  <c:v>533.70000000000005</c:v>
                </c:pt>
                <c:pt idx="155">
                  <c:v>544.70000000000005</c:v>
                </c:pt>
                <c:pt idx="156">
                  <c:v>535.65</c:v>
                </c:pt>
                <c:pt idx="157">
                  <c:v>533.95000000000005</c:v>
                </c:pt>
                <c:pt idx="158">
                  <c:v>533.25</c:v>
                </c:pt>
                <c:pt idx="159">
                  <c:v>532.4</c:v>
                </c:pt>
                <c:pt idx="160">
                  <c:v>534.45000000000005</c:v>
                </c:pt>
                <c:pt idx="161">
                  <c:v>530</c:v>
                </c:pt>
                <c:pt idx="162">
                  <c:v>534.85</c:v>
                </c:pt>
                <c:pt idx="163">
                  <c:v>535.6</c:v>
                </c:pt>
                <c:pt idx="164">
                  <c:v>534.5</c:v>
                </c:pt>
                <c:pt idx="165">
                  <c:v>535</c:v>
                </c:pt>
                <c:pt idx="166">
                  <c:v>535.15</c:v>
                </c:pt>
                <c:pt idx="167">
                  <c:v>533.20000000000005</c:v>
                </c:pt>
                <c:pt idx="168">
                  <c:v>539.75</c:v>
                </c:pt>
                <c:pt idx="169">
                  <c:v>534.9</c:v>
                </c:pt>
                <c:pt idx="170">
                  <c:v>526.20000000000005</c:v>
                </c:pt>
                <c:pt idx="171">
                  <c:v>532.6</c:v>
                </c:pt>
                <c:pt idx="172">
                  <c:v>527.25</c:v>
                </c:pt>
                <c:pt idx="173">
                  <c:v>530.1</c:v>
                </c:pt>
                <c:pt idx="174">
                  <c:v>534.79999999999995</c:v>
                </c:pt>
                <c:pt idx="175">
                  <c:v>537</c:v>
                </c:pt>
                <c:pt idx="176">
                  <c:v>531.85</c:v>
                </c:pt>
                <c:pt idx="177">
                  <c:v>526.65</c:v>
                </c:pt>
                <c:pt idx="178">
                  <c:v>529.95000000000005</c:v>
                </c:pt>
                <c:pt idx="179">
                  <c:v>523.54999999999995</c:v>
                </c:pt>
                <c:pt idx="180">
                  <c:v>526.5</c:v>
                </c:pt>
                <c:pt idx="181">
                  <c:v>521.85</c:v>
                </c:pt>
                <c:pt idx="182">
                  <c:v>534.5</c:v>
                </c:pt>
                <c:pt idx="183">
                  <c:v>536.15</c:v>
                </c:pt>
                <c:pt idx="184">
                  <c:v>537.1</c:v>
                </c:pt>
                <c:pt idx="185">
                  <c:v>532.29999999999995</c:v>
                </c:pt>
                <c:pt idx="186">
                  <c:v>540.15</c:v>
                </c:pt>
                <c:pt idx="187">
                  <c:v>539.4</c:v>
                </c:pt>
                <c:pt idx="188">
                  <c:v>536.4</c:v>
                </c:pt>
                <c:pt idx="189">
                  <c:v>541.45000000000005</c:v>
                </c:pt>
                <c:pt idx="190">
                  <c:v>533.79999999999995</c:v>
                </c:pt>
                <c:pt idx="191">
                  <c:v>535.65</c:v>
                </c:pt>
                <c:pt idx="192">
                  <c:v>544.9</c:v>
                </c:pt>
                <c:pt idx="193">
                  <c:v>547.6</c:v>
                </c:pt>
                <c:pt idx="194">
                  <c:v>548.04999999999995</c:v>
                </c:pt>
                <c:pt idx="195">
                  <c:v>525.9</c:v>
                </c:pt>
                <c:pt idx="196">
                  <c:v>523.20000000000005</c:v>
                </c:pt>
                <c:pt idx="197">
                  <c:v>521.85</c:v>
                </c:pt>
                <c:pt idx="198">
                  <c:v>517.65</c:v>
                </c:pt>
                <c:pt idx="199">
                  <c:v>527.15</c:v>
                </c:pt>
                <c:pt idx="200">
                  <c:v>524.1</c:v>
                </c:pt>
                <c:pt idx="201">
                  <c:v>520.9</c:v>
                </c:pt>
                <c:pt idx="202">
                  <c:v>520.04999999999995</c:v>
                </c:pt>
                <c:pt idx="203">
                  <c:v>525.29999999999995</c:v>
                </c:pt>
                <c:pt idx="204">
                  <c:v>525.15</c:v>
                </c:pt>
                <c:pt idx="205">
                  <c:v>524.85</c:v>
                </c:pt>
                <c:pt idx="206">
                  <c:v>526.4</c:v>
                </c:pt>
                <c:pt idx="207">
                  <c:v>533.65</c:v>
                </c:pt>
                <c:pt idx="208">
                  <c:v>530.4</c:v>
                </c:pt>
                <c:pt idx="209">
                  <c:v>532.9</c:v>
                </c:pt>
                <c:pt idx="210">
                  <c:v>536.45000000000005</c:v>
                </c:pt>
                <c:pt idx="211">
                  <c:v>537.95000000000005</c:v>
                </c:pt>
                <c:pt idx="212">
                  <c:v>530.4</c:v>
                </c:pt>
                <c:pt idx="213">
                  <c:v>505</c:v>
                </c:pt>
                <c:pt idx="214">
                  <c:v>513.9</c:v>
                </c:pt>
                <c:pt idx="215">
                  <c:v>517.9</c:v>
                </c:pt>
                <c:pt idx="216">
                  <c:v>514.29999999999995</c:v>
                </c:pt>
                <c:pt idx="217">
                  <c:v>520.20000000000005</c:v>
                </c:pt>
                <c:pt idx="218">
                  <c:v>518.35</c:v>
                </c:pt>
                <c:pt idx="219">
                  <c:v>533.04999999999995</c:v>
                </c:pt>
                <c:pt idx="220">
                  <c:v>530.75</c:v>
                </c:pt>
                <c:pt idx="221">
                  <c:v>523.95000000000005</c:v>
                </c:pt>
                <c:pt idx="222">
                  <c:v>523.45000000000005</c:v>
                </c:pt>
                <c:pt idx="223">
                  <c:v>519.1</c:v>
                </c:pt>
                <c:pt idx="224">
                  <c:v>522.25</c:v>
                </c:pt>
                <c:pt idx="225">
                  <c:v>525.75</c:v>
                </c:pt>
                <c:pt idx="226">
                  <c:v>526.70000000000005</c:v>
                </c:pt>
                <c:pt idx="227">
                  <c:v>530.15</c:v>
                </c:pt>
                <c:pt idx="228">
                  <c:v>542.1</c:v>
                </c:pt>
                <c:pt idx="229">
                  <c:v>548.35</c:v>
                </c:pt>
                <c:pt idx="230">
                  <c:v>549.9</c:v>
                </c:pt>
                <c:pt idx="231">
                  <c:v>555.4</c:v>
                </c:pt>
                <c:pt idx="232">
                  <c:v>556.9</c:v>
                </c:pt>
                <c:pt idx="233">
                  <c:v>557.20000000000005</c:v>
                </c:pt>
                <c:pt idx="234">
                  <c:v>552.25</c:v>
                </c:pt>
                <c:pt idx="235">
                  <c:v>547.5</c:v>
                </c:pt>
                <c:pt idx="236">
                  <c:v>556.5</c:v>
                </c:pt>
                <c:pt idx="237">
                  <c:v>552.1</c:v>
                </c:pt>
                <c:pt idx="238">
                  <c:v>549.95000000000005</c:v>
                </c:pt>
                <c:pt idx="239">
                  <c:v>553.6</c:v>
                </c:pt>
                <c:pt idx="240">
                  <c:v>560.45000000000005</c:v>
                </c:pt>
                <c:pt idx="241">
                  <c:v>562.35</c:v>
                </c:pt>
                <c:pt idx="242">
                  <c:v>569.04999999999995</c:v>
                </c:pt>
                <c:pt idx="243">
                  <c:v>570.9</c:v>
                </c:pt>
                <c:pt idx="244">
                  <c:v>569.15</c:v>
                </c:pt>
                <c:pt idx="245">
                  <c:v>572.1</c:v>
                </c:pt>
                <c:pt idx="246">
                  <c:v>567.1</c:v>
                </c:pt>
                <c:pt idx="247">
                  <c:v>562.65</c:v>
                </c:pt>
              </c:numCache>
            </c:numRef>
          </c:val>
          <c:smooth val="0"/>
          <c:extLst>
            <c:ext xmlns:c16="http://schemas.microsoft.com/office/drawing/2014/chart" uri="{C3380CC4-5D6E-409C-BE32-E72D297353CC}">
              <c16:uniqueId val="{00000000-41AF-492C-916D-4ACBCBBCD594}"/>
            </c:ext>
          </c:extLst>
        </c:ser>
        <c:dLbls>
          <c:showLegendKey val="0"/>
          <c:showVal val="0"/>
          <c:showCatName val="0"/>
          <c:showSerName val="0"/>
          <c:showPercent val="0"/>
          <c:showBubbleSize val="0"/>
        </c:dLbls>
        <c:smooth val="0"/>
        <c:axId val="423984128"/>
        <c:axId val="1567989280"/>
      </c:lineChart>
      <c:catAx>
        <c:axId val="423984128"/>
        <c:scaling>
          <c:orientation val="minMax"/>
        </c:scaling>
        <c:delete val="1"/>
        <c:axPos val="b"/>
        <c:majorTickMark val="none"/>
        <c:minorTickMark val="none"/>
        <c:tickLblPos val="nextTo"/>
        <c:crossAx val="1567989280"/>
        <c:crosses val="autoZero"/>
        <c:auto val="1"/>
        <c:lblAlgn val="ctr"/>
        <c:lblOffset val="100"/>
        <c:noMultiLvlLbl val="0"/>
      </c:catAx>
      <c:valAx>
        <c:axId val="1567989280"/>
        <c:scaling>
          <c:orientation val="minMax"/>
        </c:scaling>
        <c:delete val="0"/>
        <c:axPos val="l"/>
        <c:majorGridlines>
          <c:spPr>
            <a:ln w="9525" cap="flat" cmpd="sng" algn="ctr">
              <a:solidFill>
                <a:schemeClr val="tx1">
                  <a:lumMod val="15000"/>
                  <a:lumOff val="85000"/>
                </a:schemeClr>
              </a:solidFill>
              <a:round/>
            </a:ln>
            <a:effectLst/>
          </c:spPr>
        </c:majorGridlines>
        <c:numFmt formatCode="_ [$₹-4009]\ * #,##0.00_ ;_ [$₹-4009]\ * \-#,##0.00_ ;_ [$₹-4009]\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3984128"/>
        <c:crosses val="autoZero"/>
        <c:crossBetween val="between"/>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30480</xdr:colOff>
      <xdr:row>21</xdr:row>
      <xdr:rowOff>3810</xdr:rowOff>
    </xdr:from>
    <xdr:to>
      <xdr:col>2</xdr:col>
      <xdr:colOff>15240</xdr:colOff>
      <xdr:row>37</xdr:row>
      <xdr:rowOff>160020</xdr:rowOff>
    </xdr:to>
    <xdr:graphicFrame macro="">
      <xdr:nvGraphicFramePr>
        <xdr:cNvPr id="2" name="Chart 1">
          <a:extLst>
            <a:ext uri="{FF2B5EF4-FFF2-40B4-BE49-F238E27FC236}">
              <a16:creationId xmlns:a16="http://schemas.microsoft.com/office/drawing/2014/main" id="{36282D54-A87D-A724-B4CF-6345C852CF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160020</xdr:colOff>
      <xdr:row>14</xdr:row>
      <xdr:rowOff>152400</xdr:rowOff>
    </xdr:from>
    <xdr:to>
      <xdr:col>6</xdr:col>
      <xdr:colOff>297180</xdr:colOff>
      <xdr:row>28</xdr:row>
      <xdr:rowOff>114300</xdr:rowOff>
    </xdr:to>
    <xdr:graphicFrame macro="">
      <xdr:nvGraphicFramePr>
        <xdr:cNvPr id="3" name="Chart 2">
          <a:extLst>
            <a:ext uri="{FF2B5EF4-FFF2-40B4-BE49-F238E27FC236}">
              <a16:creationId xmlns:a16="http://schemas.microsoft.com/office/drawing/2014/main" id="{B510993D-2836-433D-B2A2-A3ADC1F770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144780</xdr:colOff>
      <xdr:row>29</xdr:row>
      <xdr:rowOff>22860</xdr:rowOff>
    </xdr:from>
    <xdr:to>
      <xdr:col>6</xdr:col>
      <xdr:colOff>304800</xdr:colOff>
      <xdr:row>42</xdr:row>
      <xdr:rowOff>152400</xdr:rowOff>
    </xdr:to>
    <xdr:graphicFrame macro="">
      <xdr:nvGraphicFramePr>
        <xdr:cNvPr id="4" name="Chart 3">
          <a:extLst>
            <a:ext uri="{FF2B5EF4-FFF2-40B4-BE49-F238E27FC236}">
              <a16:creationId xmlns:a16="http://schemas.microsoft.com/office/drawing/2014/main" id="{990E64D9-CA01-4F25-9489-7B42D163DC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365760</xdr:colOff>
      <xdr:row>14</xdr:row>
      <xdr:rowOff>160020</xdr:rowOff>
    </xdr:from>
    <xdr:to>
      <xdr:col>9</xdr:col>
      <xdr:colOff>579120</xdr:colOff>
      <xdr:row>28</xdr:row>
      <xdr:rowOff>121920</xdr:rowOff>
    </xdr:to>
    <xdr:graphicFrame macro="">
      <xdr:nvGraphicFramePr>
        <xdr:cNvPr id="5" name="Chart 4">
          <a:extLst>
            <a:ext uri="{FF2B5EF4-FFF2-40B4-BE49-F238E27FC236}">
              <a16:creationId xmlns:a16="http://schemas.microsoft.com/office/drawing/2014/main" id="{9B591092-EFD8-41C5-B230-A7ED94D3C6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365760</xdr:colOff>
      <xdr:row>29</xdr:row>
      <xdr:rowOff>15240</xdr:rowOff>
    </xdr:from>
    <xdr:to>
      <xdr:col>9</xdr:col>
      <xdr:colOff>586740</xdr:colOff>
      <xdr:row>42</xdr:row>
      <xdr:rowOff>152400</xdr:rowOff>
    </xdr:to>
    <xdr:graphicFrame macro="">
      <xdr:nvGraphicFramePr>
        <xdr:cNvPr id="6" name="Chart 5">
          <a:extLst>
            <a:ext uri="{FF2B5EF4-FFF2-40B4-BE49-F238E27FC236}">
              <a16:creationId xmlns:a16="http://schemas.microsoft.com/office/drawing/2014/main" id="{FE5B18C0-B6BE-4FC1-996D-CF37046B83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ycmal" refreshedDate="45014.724624305556" createdVersion="8" refreshedVersion="8" minRefreshableVersion="3" recordCount="2" xr:uid="{F0CE91F9-5E51-4F0A-9C8B-B69AF1D7F0AB}">
  <cacheSource type="worksheet">
    <worksheetSource name="Table2"/>
  </cacheSource>
  <cacheFields count="8">
    <cacheField name="Stock" numFmtId="0">
      <sharedItems count="2">
        <s v="LARSEN AND TOUBRO LIMITED (XNSE:LT)"/>
        <s v="DABUR INDIA LIMITED (XNSE:DABUR)"/>
      </sharedItems>
    </cacheField>
    <cacheField name="Stock Exchange" numFmtId="0">
      <sharedItems count="1">
        <s v="XNSE"/>
      </sharedItems>
    </cacheField>
    <cacheField name="Ticker symbol" numFmtId="0">
      <sharedItems count="2">
        <s v="LT"/>
        <s v="DABUR"/>
      </sharedItems>
    </cacheField>
    <cacheField name="52 week high" numFmtId="164">
      <sharedItems containsSemiMixedTypes="0" containsString="0" containsNumber="1" minValue="610.75" maxValue="2297.65"/>
    </cacheField>
    <cacheField name="52 week low" numFmtId="164">
      <sharedItems containsSemiMixedTypes="0" containsString="0" containsNumber="1" minValue="482.25" maxValue="1456.35"/>
    </cacheField>
    <cacheField name="Price" numFmtId="164">
      <sharedItems containsSemiMixedTypes="0" containsString="0" containsNumber="1" minValue="535.65" maxValue="2147.4499999999998"/>
    </cacheField>
    <cacheField name="P/E" numFmtId="164">
      <sharedItems containsSemiMixedTypes="0" containsString="0" containsNumber="1" minValue="29.67" maxValue="55.51"/>
    </cacheField>
    <cacheField name="Change" numFmtId="164">
      <sharedItems containsSemiMixedTypes="0" containsString="0" containsNumber="1" minValue="1.85" maxValue="13.85"/>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
  <r>
    <x v="0"/>
    <x v="0"/>
    <x v="0"/>
    <n v="2297.65"/>
    <n v="1456.35"/>
    <n v="2147.4499999999998"/>
    <n v="29.67"/>
    <n v="13.85"/>
  </r>
  <r>
    <x v="1"/>
    <x v="0"/>
    <x v="1"/>
    <n v="610.75"/>
    <n v="482.25"/>
    <n v="535.65"/>
    <n v="55.51"/>
    <n v="1.8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F93307F-41F2-4D61-AEDA-C4450A790192}" name="PivotTable4" cacheId="0" applyNumberFormats="0" applyBorderFormats="0" applyFontFormats="0" applyPatternFormats="0" applyAlignmentFormats="0" applyWidthHeightFormats="1" dataCaption="Values" updatedVersion="8" minRefreshableVersion="3" showDrill="0" useAutoFormatting="1" rowGrandTotals="0" colGrandTotals="0" itemPrintTitles="1" createdVersion="8" indent="0" compact="0" compactData="0" multipleFieldFilters="0">
  <location ref="A3:B4" firstHeaderRow="1" firstDataRow="1" firstDataCol="2" rowPageCount="1" colPageCount="1"/>
  <pivotFields count="8">
    <pivotField axis="axisPage" compact="0" outline="0" showAll="0" defaultSubtotal="0">
      <items count="2">
        <item x="1"/>
        <item x="0"/>
      </items>
      <extLst>
        <ext xmlns:x14="http://schemas.microsoft.com/office/spreadsheetml/2009/9/main" uri="{2946ED86-A175-432a-8AC1-64E0C546D7DE}">
          <x14:pivotField fillDownLabels="1"/>
        </ext>
      </extLst>
    </pivotField>
    <pivotField axis="axisRow" compact="0" outline="0" showAll="0" defaultSubtotal="0">
      <items count="1">
        <item x="0"/>
      </items>
      <extLst>
        <ext xmlns:x14="http://schemas.microsoft.com/office/spreadsheetml/2009/9/main" uri="{2946ED86-A175-432a-8AC1-64E0C546D7DE}">
          <x14:pivotField fillDownLabels="1"/>
        </ext>
      </extLst>
    </pivotField>
    <pivotField axis="axisRow" compact="0" outline="0" showAll="0" defaultSubtotal="0">
      <items count="2">
        <item x="1"/>
        <item x="0"/>
      </items>
      <extLst>
        <ext xmlns:x14="http://schemas.microsoft.com/office/spreadsheetml/2009/9/main" uri="{2946ED86-A175-432a-8AC1-64E0C546D7DE}">
          <x14:pivotField fillDownLabels="1"/>
        </ext>
      </extLst>
    </pivotField>
    <pivotField compact="0" numFmtId="164" outline="0" showAll="0" defaultSubtotal="0">
      <extLst>
        <ext xmlns:x14="http://schemas.microsoft.com/office/spreadsheetml/2009/9/main" uri="{2946ED86-A175-432a-8AC1-64E0C546D7DE}">
          <x14:pivotField fillDownLabels="1"/>
        </ext>
      </extLst>
    </pivotField>
    <pivotField compact="0" numFmtId="164" outline="0" showAll="0" defaultSubtotal="0">
      <extLst>
        <ext xmlns:x14="http://schemas.microsoft.com/office/spreadsheetml/2009/9/main" uri="{2946ED86-A175-432a-8AC1-64E0C546D7DE}">
          <x14:pivotField fillDownLabels="1"/>
        </ext>
      </extLst>
    </pivotField>
    <pivotField compact="0" numFmtId="164" outline="0" showAll="0" defaultSubtotal="0">
      <extLst>
        <ext xmlns:x14="http://schemas.microsoft.com/office/spreadsheetml/2009/9/main" uri="{2946ED86-A175-432a-8AC1-64E0C546D7DE}">
          <x14:pivotField fillDownLabels="1"/>
        </ext>
      </extLst>
    </pivotField>
    <pivotField compact="0" numFmtId="164" outline="0" showAll="0" defaultSubtotal="0">
      <extLst>
        <ext xmlns:x14="http://schemas.microsoft.com/office/spreadsheetml/2009/9/main" uri="{2946ED86-A175-432a-8AC1-64E0C546D7DE}">
          <x14:pivotField fillDownLabels="1"/>
        </ext>
      </extLst>
    </pivotField>
    <pivotField compact="0" numFmtId="164" outline="0" showAll="0" defaultSubtotal="0">
      <extLst>
        <ext xmlns:x14="http://schemas.microsoft.com/office/spreadsheetml/2009/9/main" uri="{2946ED86-A175-432a-8AC1-64E0C546D7DE}">
          <x14:pivotField fillDownLabels="1"/>
        </ext>
      </extLst>
    </pivotField>
  </pivotFields>
  <rowFields count="2">
    <field x="1"/>
    <field x="2"/>
  </rowFields>
  <rowItems count="1">
    <i>
      <x/>
      <x/>
    </i>
  </rowItems>
  <colItems count="1">
    <i/>
  </colItems>
  <pageFields count="1">
    <pageField fld="0" item="0" hier="-1"/>
  </page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F93307F-41F2-4D61-AEDA-C4450A790192}" name="PivotTable3" cacheId="0" applyNumberFormats="0" applyBorderFormats="0" applyFontFormats="0" applyPatternFormats="0" applyAlignmentFormats="0" applyWidthHeightFormats="1" dataCaption="Values" updatedVersion="8" minRefreshableVersion="3" showDrill="0" useAutoFormatting="1" rowGrandTotals="0" colGrandTotals="0" itemPrintTitles="1" createdVersion="8" indent="0" compact="0" compactData="0" multipleFieldFilters="0">
  <location ref="A3:B4" firstHeaderRow="1" firstDataRow="1" firstDataCol="2" rowPageCount="1" colPageCount="1"/>
  <pivotFields count="8">
    <pivotField axis="axisPage" compact="0" outline="0" showAll="0" defaultSubtotal="0">
      <items count="2">
        <item x="1"/>
        <item x="0"/>
      </items>
      <extLst>
        <ext xmlns:x14="http://schemas.microsoft.com/office/spreadsheetml/2009/9/main" uri="{2946ED86-A175-432a-8AC1-64E0C546D7DE}">
          <x14:pivotField fillDownLabels="1"/>
        </ext>
      </extLst>
    </pivotField>
    <pivotField axis="axisRow" compact="0" outline="0" showAll="0" defaultSubtotal="0">
      <items count="1">
        <item x="0"/>
      </items>
      <extLst>
        <ext xmlns:x14="http://schemas.microsoft.com/office/spreadsheetml/2009/9/main" uri="{2946ED86-A175-432a-8AC1-64E0C546D7DE}">
          <x14:pivotField fillDownLabels="1"/>
        </ext>
      </extLst>
    </pivotField>
    <pivotField axis="axisRow" compact="0" outline="0" showAll="0" defaultSubtotal="0">
      <items count="2">
        <item x="1"/>
        <item x="0"/>
      </items>
      <extLst>
        <ext xmlns:x14="http://schemas.microsoft.com/office/spreadsheetml/2009/9/main" uri="{2946ED86-A175-432a-8AC1-64E0C546D7DE}">
          <x14:pivotField fillDownLabels="1"/>
        </ext>
      </extLst>
    </pivotField>
    <pivotField compact="0" numFmtId="164" outline="0" showAll="0" defaultSubtotal="0">
      <extLst>
        <ext xmlns:x14="http://schemas.microsoft.com/office/spreadsheetml/2009/9/main" uri="{2946ED86-A175-432a-8AC1-64E0C546D7DE}">
          <x14:pivotField fillDownLabels="1"/>
        </ext>
      </extLst>
    </pivotField>
    <pivotField compact="0" numFmtId="164" outline="0" showAll="0" defaultSubtotal="0">
      <extLst>
        <ext xmlns:x14="http://schemas.microsoft.com/office/spreadsheetml/2009/9/main" uri="{2946ED86-A175-432a-8AC1-64E0C546D7DE}">
          <x14:pivotField fillDownLabels="1"/>
        </ext>
      </extLst>
    </pivotField>
    <pivotField compact="0" numFmtId="164" outline="0" showAll="0" defaultSubtotal="0">
      <extLst>
        <ext xmlns:x14="http://schemas.microsoft.com/office/spreadsheetml/2009/9/main" uri="{2946ED86-A175-432a-8AC1-64E0C546D7DE}">
          <x14:pivotField fillDownLabels="1"/>
        </ext>
      </extLst>
    </pivotField>
    <pivotField compact="0" numFmtId="164" outline="0" showAll="0" defaultSubtotal="0">
      <extLst>
        <ext xmlns:x14="http://schemas.microsoft.com/office/spreadsheetml/2009/9/main" uri="{2946ED86-A175-432a-8AC1-64E0C546D7DE}">
          <x14:pivotField fillDownLabels="1"/>
        </ext>
      </extLst>
    </pivotField>
    <pivotField compact="0" numFmtId="164" outline="0" showAll="0" defaultSubtotal="0">
      <extLst>
        <ext xmlns:x14="http://schemas.microsoft.com/office/spreadsheetml/2009/9/main" uri="{2946ED86-A175-432a-8AC1-64E0C546D7DE}">
          <x14:pivotField fillDownLabels="1"/>
        </ext>
      </extLst>
    </pivotField>
  </pivotFields>
  <rowFields count="2">
    <field x="1"/>
    <field x="2"/>
  </rowFields>
  <rowItems count="1">
    <i>
      <x/>
      <x v="1"/>
    </i>
  </rowItems>
  <colItems count="1">
    <i/>
  </colItems>
  <pageFields count="1">
    <pageField fld="0" item="1" hier="-1"/>
  </page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F93307F-41F2-4D61-AEDA-C4450A790192}" name="PivotTable2" cacheId="0" applyNumberFormats="0" applyBorderFormats="0" applyFontFormats="0" applyPatternFormats="0" applyAlignmentFormats="0" applyWidthHeightFormats="1" dataCaption="Values" updatedVersion="8" minRefreshableVersion="3" showDrill="0" useAutoFormatting="1" rowGrandTotals="0" colGrandTotals="0" itemPrintTitles="1" createdVersion="8" indent="0" compact="0" compactData="0" multipleFieldFilters="0">
  <location ref="A6:B8" firstHeaderRow="1" firstDataRow="1" firstDataCol="2" rowPageCount="1" colPageCount="1"/>
  <pivotFields count="8">
    <pivotField axis="axisPage" compact="0" outline="0" showAll="0" defaultSubtotal="0">
      <items count="2">
        <item x="1"/>
        <item x="0"/>
      </items>
      <extLst>
        <ext xmlns:x14="http://schemas.microsoft.com/office/spreadsheetml/2009/9/main" uri="{2946ED86-A175-432a-8AC1-64E0C546D7DE}">
          <x14:pivotField fillDownLabels="1"/>
        </ext>
      </extLst>
    </pivotField>
    <pivotField axis="axisRow" compact="0" outline="0" showAll="0" defaultSubtotal="0">
      <items count="1">
        <item x="0"/>
      </items>
      <extLst>
        <ext xmlns:x14="http://schemas.microsoft.com/office/spreadsheetml/2009/9/main" uri="{2946ED86-A175-432a-8AC1-64E0C546D7DE}">
          <x14:pivotField fillDownLabels="1"/>
        </ext>
      </extLst>
    </pivotField>
    <pivotField axis="axisRow" compact="0" outline="0" showAll="0" defaultSubtotal="0">
      <items count="2">
        <item x="1"/>
        <item x="0"/>
      </items>
      <extLst>
        <ext xmlns:x14="http://schemas.microsoft.com/office/spreadsheetml/2009/9/main" uri="{2946ED86-A175-432a-8AC1-64E0C546D7DE}">
          <x14:pivotField fillDownLabels="1"/>
        </ext>
      </extLst>
    </pivotField>
    <pivotField compact="0" numFmtId="164" outline="0" showAll="0" defaultSubtotal="0">
      <extLst>
        <ext xmlns:x14="http://schemas.microsoft.com/office/spreadsheetml/2009/9/main" uri="{2946ED86-A175-432a-8AC1-64E0C546D7DE}">
          <x14:pivotField fillDownLabels="1"/>
        </ext>
      </extLst>
    </pivotField>
    <pivotField compact="0" numFmtId="164" outline="0" showAll="0" defaultSubtotal="0">
      <extLst>
        <ext xmlns:x14="http://schemas.microsoft.com/office/spreadsheetml/2009/9/main" uri="{2946ED86-A175-432a-8AC1-64E0C546D7DE}">
          <x14:pivotField fillDownLabels="1"/>
        </ext>
      </extLst>
    </pivotField>
    <pivotField compact="0" numFmtId="164" outline="0" showAll="0" defaultSubtotal="0">
      <extLst>
        <ext xmlns:x14="http://schemas.microsoft.com/office/spreadsheetml/2009/9/main" uri="{2946ED86-A175-432a-8AC1-64E0C546D7DE}">
          <x14:pivotField fillDownLabels="1"/>
        </ext>
      </extLst>
    </pivotField>
    <pivotField compact="0" numFmtId="164" outline="0" showAll="0" defaultSubtotal="0">
      <extLst>
        <ext xmlns:x14="http://schemas.microsoft.com/office/spreadsheetml/2009/9/main" uri="{2946ED86-A175-432a-8AC1-64E0C546D7DE}">
          <x14:pivotField fillDownLabels="1"/>
        </ext>
      </extLst>
    </pivotField>
    <pivotField compact="0" numFmtId="164" outline="0" showAll="0" defaultSubtotal="0">
      <extLst>
        <ext xmlns:x14="http://schemas.microsoft.com/office/spreadsheetml/2009/9/main" uri="{2946ED86-A175-432a-8AC1-64E0C546D7DE}">
          <x14:pivotField fillDownLabels="1"/>
        </ext>
      </extLst>
    </pivotField>
  </pivotFields>
  <rowFields count="2">
    <field x="1"/>
    <field x="2"/>
  </rowFields>
  <rowItems count="2">
    <i>
      <x/>
      <x/>
    </i>
    <i r="1">
      <x v="1"/>
    </i>
  </rowItems>
  <colItems count="1">
    <i/>
  </colItems>
  <pageFields count="1">
    <pageField fld="0" hier="-1"/>
  </page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linkedentity">
      <keyFlags>
        <key name="%cvi">
          <flag name="ShowInCardView" value="0"/>
          <flag name="ShowInDotNotation" value="0"/>
          <flag name="ShowInAutoComplete" value="0"/>
          <flag name="ExcludeFromCalcComparison" value="1"/>
        </key>
      </keyFlags>
    </type>
    <type name="_linkedentitycore">
      <keyFlags>
        <key name="%EntityServiceId">
          <flag name="ShowInCardView" value="0"/>
          <flag name="ShowInDotNotation" value="0"/>
          <flag name="ShowInAutoComplete" value="0"/>
        </key>
        <key name="%EntitySubDomain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s>
</rvTypesInfo>
</file>

<file path=xl/richData/rdarray.xml><?xml version="1.0" encoding="utf-8"?>
<arrayData xmlns="http://schemas.microsoft.com/office/spreadsheetml/2017/richdata2" count="21">
  <a r="1" c="248">
    <v t="i">0</v>
    <v t="i">1</v>
    <v t="i">4</v>
    <v t="i">5</v>
    <v t="i">6</v>
    <v t="i">7</v>
    <v t="i">8</v>
    <v t="i">11</v>
    <v t="i">12</v>
    <v t="i">13</v>
    <v t="i">14</v>
    <v t="i">15</v>
    <v t="i">18</v>
    <v t="i">19</v>
    <v t="i">20</v>
    <v t="i">21</v>
    <v t="i">22</v>
    <v t="i">25</v>
    <v t="i">26</v>
    <v t="i">27</v>
    <v t="i">28</v>
    <v t="i">29</v>
    <v t="i">32</v>
    <v t="i">33</v>
    <v t="i">34</v>
    <v t="i">35</v>
    <v t="i">36</v>
    <v t="i">39</v>
    <v t="i">40</v>
    <v t="i">41</v>
    <v t="i">42</v>
    <v t="i">43</v>
    <v t="i">46</v>
    <v t="i">48</v>
    <v t="i">49</v>
    <v t="i">50</v>
    <v t="i">54</v>
    <v t="i">55</v>
    <v t="i">56</v>
    <v t="i">57</v>
    <v t="i">60</v>
    <v t="i">61</v>
    <v t="i">62</v>
    <v t="i">63</v>
    <v t="i">64</v>
    <v t="i">67</v>
    <v t="i">68</v>
    <v t="i">70</v>
    <v t="i">71</v>
    <v t="i">74</v>
    <v t="i">75</v>
    <v t="i">76</v>
    <v t="i">77</v>
    <v t="i">78</v>
    <v t="i">81</v>
    <v t="i">82</v>
    <v t="i">83</v>
    <v t="i">84</v>
    <v t="i">85</v>
    <v t="i">88</v>
    <v t="i">89</v>
    <v t="i">90</v>
    <v t="i">91</v>
    <v t="i">92</v>
    <v t="i">95</v>
    <v t="i">96</v>
    <v t="i">97</v>
    <v t="i">98</v>
    <v t="i">99</v>
    <v t="i">102</v>
    <v t="i">103</v>
    <v t="i">105</v>
    <v t="i">106</v>
    <v t="i">109</v>
    <v t="i">110</v>
    <v t="i">111</v>
    <v t="i">112</v>
    <v t="i">113</v>
    <v t="i">116</v>
    <v t="i">117</v>
    <v t="i">118</v>
    <v t="i">119</v>
    <v t="i">120</v>
    <v t="i">123</v>
    <v t="i">124</v>
    <v t="i">126</v>
    <v t="i">127</v>
    <v t="i">130</v>
    <v t="i">131</v>
    <v t="i">132</v>
    <v t="i">133</v>
    <v t="i">134</v>
    <v t="i">137</v>
    <v t="i">139</v>
    <v t="i">140</v>
    <v t="i">141</v>
    <v t="i">144</v>
    <v t="i">145</v>
    <v t="i">146</v>
    <v t="i">147</v>
    <v t="i">148</v>
    <v t="i">151</v>
    <v t="i">152</v>
    <v t="i">153</v>
    <v t="i">154</v>
    <v t="i">155</v>
    <v t="i">158</v>
    <v t="i">159</v>
    <v t="i">160</v>
    <v t="i">161</v>
    <v t="i">162</v>
    <v t="i">165</v>
    <v t="i">166</v>
    <v t="i">167</v>
    <v t="i">168</v>
    <v t="i">169</v>
    <v t="i">172</v>
    <v t="i">173</v>
    <v t="i">174</v>
    <v t="i">175</v>
    <v t="i">176</v>
    <v t="i">179</v>
    <v t="i">180</v>
    <v t="i">181</v>
    <v t="i">182</v>
    <v t="i">183</v>
    <v t="i">186</v>
    <v t="i">187</v>
    <v t="i">188</v>
    <v t="i">189</v>
    <v t="i">190</v>
    <v t="i">193</v>
    <v t="i">194</v>
    <v t="i">195</v>
    <v t="i">196</v>
    <v t="i">197</v>
    <v t="i">200</v>
    <v t="i">201</v>
    <v t="i">202</v>
    <v t="i">203</v>
    <v t="i">204</v>
    <v t="i">207</v>
    <v t="i">208</v>
    <v t="i">209</v>
    <v t="i">210</v>
    <v t="i">211</v>
    <v t="i">214</v>
    <v t="i">215</v>
    <v t="i">216</v>
    <v t="i">218</v>
    <v t="i">221</v>
    <v t="i">222</v>
    <v t="i">223</v>
    <v t="i">224</v>
    <v t="i">225</v>
    <v t="i">228</v>
    <v t="i">229</v>
    <v t="i">230</v>
    <v t="i">231</v>
    <v t="i">232</v>
    <v t="i">235</v>
    <v t="i">236</v>
    <v t="i">237</v>
    <v t="i">238</v>
    <v t="i">239</v>
    <v t="i">242</v>
    <v t="i">243</v>
    <v t="i">244</v>
    <v t="i">245</v>
    <v t="i">246</v>
    <v t="i">249</v>
    <v t="i">250</v>
    <v t="i">251</v>
    <v t="i">252</v>
    <v t="i">253</v>
    <v t="i">256</v>
    <v t="i">258</v>
    <v t="i">259</v>
    <v t="i">260</v>
    <v t="i">263</v>
    <v t="i">264</v>
    <v t="i">265</v>
    <v t="i">266</v>
    <v t="i">267</v>
    <v t="i">270</v>
    <v t="i">271</v>
    <v t="i">272</v>
    <v t="i">273</v>
    <v t="i">274</v>
    <v t="i">277</v>
    <v t="i">278</v>
    <v t="i">279</v>
    <v t="i">281</v>
    <v t="i">284</v>
    <v t="i">286</v>
    <v t="i">287</v>
    <v t="i">291</v>
    <v t="i">292</v>
    <v t="i">293</v>
    <v t="i">294</v>
    <v t="i">298</v>
    <v t="i">299</v>
    <v t="i">300</v>
    <v t="i">301</v>
    <v t="i">302</v>
    <v t="i">305</v>
    <v t="i">306</v>
    <v t="i">307</v>
    <v t="i">308</v>
    <v t="i">309</v>
    <v t="i">313</v>
    <v t="i">314</v>
    <v t="i">315</v>
    <v t="i">316</v>
    <v t="i">319</v>
    <v t="i">320</v>
    <v t="i">321</v>
    <v t="i">322</v>
    <v t="i">323</v>
    <v t="i">326</v>
    <v t="i">327</v>
    <v t="i">328</v>
    <v t="i">329</v>
    <v t="i">330</v>
    <v t="i">333</v>
    <v t="i">334</v>
    <v t="i">335</v>
    <v t="i">336</v>
    <v t="i">337</v>
    <v t="i">340</v>
    <v t="i">341</v>
    <v t="i">342</v>
    <v t="i">343</v>
    <v t="i">344</v>
    <v t="i">347</v>
    <v t="i">348</v>
    <v t="i">349</v>
    <v t="i">350</v>
    <v t="i">351</v>
    <v t="i">354</v>
    <v t="i">355</v>
    <v t="i">356</v>
    <v t="i">357</v>
    <v t="i">358</v>
    <v t="i">361</v>
    <v t="i">362</v>
    <v t="i">363</v>
    <v t="i">364</v>
  </a>
  <a r="1" c="248">
    <v>2290.75</v>
    <v>2290.35</v>
    <v>2292.5500000000002</v>
    <v>2284.8000000000002</v>
    <v>2310.1999999999998</v>
    <v>2300.9</v>
    <v>2275.4499999999998</v>
    <v>2361.5</v>
    <v>2364.75</v>
    <v>2517</v>
    <v>2562.4499999999998</v>
    <v>2589.1</v>
    <v>2610.85</v>
    <v>2540.8000000000002</v>
    <v>2544.6999999999998</v>
    <v>2548.35</v>
    <v>2559.4499999999998</v>
    <v>2586.5500000000002</v>
    <v>2590.9</v>
    <v>2598.5500000000002</v>
    <v>2772.75</v>
    <v>2696.4</v>
    <v>2662.9</v>
    <v>2713.4</v>
    <v>2728.15</v>
    <v>2722.25</v>
    <v>2736.15</v>
    <v>2745.65</v>
    <v>2759.55</v>
    <v>2671.6</v>
    <v>2668.35</v>
    <v>2688.2</v>
    <v>2721.1</v>
    <v>2770.4</v>
    <v>2798.3</v>
    <v>2797.25</v>
    <v>2898</v>
    <v>2891.75</v>
    <v>2890.5</v>
    <v>2888.35</v>
    <v>2869.55</v>
    <v>2868.1</v>
    <v>3060.45</v>
    <v>3144.4</v>
    <v>3170.65</v>
    <v>3196.45</v>
    <v>3262.75</v>
    <v>3403.7</v>
    <v>3368.9</v>
    <v>3289.2</v>
    <v>3362.05</v>
    <v>3310.3</v>
    <v>3318.25</v>
    <v>3314.65</v>
    <v>3329.6</v>
    <v>3358.85</v>
    <v>3288.65</v>
    <v>3296.95</v>
    <v>3180.15</v>
    <v>3157.8</v>
    <v>3150.55</v>
    <v>3129.65</v>
    <v>3144.1</v>
    <v>3124.65</v>
    <v>3002.2</v>
    <v>3032.75</v>
    <v>3009.7</v>
    <v>2996.2</v>
    <v>3088.4</v>
    <v>2994.8</v>
    <v>3080.8</v>
    <v>3188.85</v>
    <v>3296.1</v>
    <v>3230.55</v>
    <v>3197.05</v>
    <v>3247.5</v>
    <v>3265.85</v>
    <v>3194.3</v>
    <v>3196.55</v>
    <v>3211.6</v>
    <v>3238.3</v>
    <v>3132.8</v>
    <v>3041.25</v>
    <v>3052.8</v>
    <v>3055.25</v>
    <v>3039.4</v>
    <v>2962.1</v>
    <v>3049.75</v>
    <v>3152.15</v>
    <v>3170.85</v>
    <v>3225.25</v>
    <v>3219.9</v>
    <v>3262.35</v>
    <v>3103.9</v>
    <v>3166.9</v>
    <v>3155.85</v>
    <v>3025.2</v>
    <v>3027.85</v>
    <v>3035.65</v>
    <v>3122.2</v>
    <v>3092.65</v>
    <v>3082.95</v>
    <v>3059.45</v>
    <v>3099.3</v>
    <v>3124.95</v>
    <v>3090.85</v>
    <v>3103.35</v>
    <v>3015.2</v>
    <v>3000.7</v>
    <v>2993.85</v>
    <v>2978.1</v>
    <v>2975.6</v>
    <v>2944.1</v>
    <v>2969.05</v>
    <v>2988.35</v>
    <v>2976.65</v>
    <v>2991.4</v>
    <v>2993.15</v>
    <v>3006.7</v>
    <v>2930.2</v>
    <v>2838.5</v>
    <v>2897.25</v>
    <v>2924.85</v>
    <v>2841</v>
    <v>2802.8</v>
    <v>2680.75</v>
    <v>2724.65</v>
    <v>2742.65</v>
    <v>2724.35</v>
    <v>2684.2</v>
    <v>2683</v>
    <v>2679.95</v>
    <v>2689.4</v>
    <v>2705.2</v>
    <v>2806</v>
    <v>2843.6</v>
    <v>2862.1</v>
    <v>2841.65</v>
    <v>2900.2</v>
    <v>2914.15</v>
    <v>2899.95</v>
    <v>2872.4</v>
    <v>2874.95</v>
    <v>2920.35</v>
    <v>2918.65</v>
    <v>2933.75</v>
    <v>2947.7</v>
    <v>2945.05</v>
    <v>2873.35</v>
    <v>2803.2</v>
    <v>2814.85</v>
    <v>2839.5</v>
    <v>2789.1</v>
    <v>2831.6</v>
    <v>2805.85</v>
    <v>2932</v>
    <v>3023.5</v>
    <v>3079.45</v>
    <v>3128.05</v>
    <v>3166.3</v>
    <v>3079.65</v>
    <v>3077.3</v>
    <v>3149.6</v>
    <v>3188.4</v>
    <v>3136.15</v>
    <v>3174.15</v>
    <v>3169.4</v>
    <v>3172.8</v>
    <v>3138.35</v>
    <v>3142</v>
    <v>3108.05</v>
    <v>3217.35</v>
    <v>3311.45</v>
    <v>3323.4</v>
    <v>3328.75</v>
    <v>3318.45</v>
    <v>3379.85</v>
    <v>3388</v>
    <v>3377.4</v>
    <v>3274.45</v>
    <v>3311.15</v>
    <v>3302.25</v>
    <v>3327.95</v>
    <v>3312.55</v>
    <v>3298.85</v>
    <v>3412.35</v>
    <v>3309.9</v>
    <v>3360.45</v>
    <v>3346.7</v>
    <v>3324.6</v>
    <v>3338.65</v>
    <v>3391.45</v>
    <v>3365.15</v>
    <v>3373.75</v>
    <v>3374.15</v>
    <v>3397.1</v>
    <v>3397.65</v>
    <v>3277.45</v>
    <v>3203.55</v>
    <v>3230</v>
    <v>3229</v>
    <v>3207.7</v>
    <v>3201.05</v>
    <v>3184.3</v>
    <v>3153.3</v>
    <v>3217.4</v>
    <v>3336.1</v>
    <v>3400.15</v>
    <v>3411.6</v>
    <v>3417.95</v>
    <v>3442.15</v>
    <v>3453.6</v>
    <v>3645.35</v>
    <v>3718.85</v>
    <v>3802.6</v>
    <v>3807.05</v>
    <v>3815.45</v>
    <v>3860.45</v>
    <v>3942.55</v>
    <v>3855.45</v>
    <v>3910.5</v>
    <v>3918.9</v>
    <v>3897.5</v>
    <v>3894.75</v>
    <v>3893.2</v>
    <v>3912.75</v>
    <v>3891.65</v>
    <v>3941.95</v>
    <v>4004.75</v>
    <v>4031.15</v>
    <v>4029.6</v>
    <v>4125.8999999999996</v>
    <v>3944.65</v>
    <v>4021.55</v>
    <v>4033</v>
    <v>4057.65</v>
    <v>4151.1000000000004</v>
    <v>4112.3</v>
    <v>4151.2</v>
    <v>4151.45</v>
    <v>4319.8</v>
    <v>4349.8500000000004</v>
    <v>4313.6499999999996</v>
    <v>4336.8999999999996</v>
    <v>4327.6499999999996</v>
    <v>4376</v>
    <v>4366.45</v>
    <v>4270.5</v>
  </a>
  <a r="1" c="248">
    <v>620.35</v>
    <v>622.1</v>
    <v>624.6</v>
    <v>620.25</v>
    <v>617.95000000000005</v>
    <v>594.29999999999995</v>
    <v>603.29999999999995</v>
    <v>617.45000000000005</v>
    <v>624.29999999999995</v>
    <v>650.45000000000005</v>
    <v>653.04999999999995</v>
    <v>656.6</v>
    <v>660.45</v>
    <v>673.8</v>
    <v>673.35</v>
    <v>674.25</v>
    <v>684.1</v>
    <v>671</v>
    <v>673.65</v>
    <v>673.55</v>
    <v>681.25</v>
    <v>675.2</v>
    <v>671.5</v>
    <v>666.4</v>
    <v>681.15</v>
    <v>686.05</v>
    <v>712.75</v>
    <v>710.15</v>
    <v>726.3</v>
    <v>699.4</v>
    <v>679.45</v>
    <v>685.9</v>
    <v>696.4</v>
    <v>690.45</v>
    <v>699.65</v>
    <v>700.15</v>
    <v>718.9</v>
    <v>705.9</v>
    <v>703.9</v>
    <v>683.45</v>
    <v>670.15</v>
    <v>676.5</v>
    <v>688.75</v>
    <v>700.8</v>
    <v>712.65</v>
    <v>688.4</v>
    <v>696.55</v>
    <v>692.75</v>
    <v>674.35</v>
    <v>669.15</v>
    <v>669.35</v>
    <v>726.55</v>
    <v>732.25</v>
    <v>752.7</v>
    <v>764.85</v>
    <v>770.4</v>
    <v>768.25</v>
    <v>763.55</v>
    <v>738.7</v>
    <v>747.65</v>
    <v>744.75</v>
    <v>742.1</v>
    <v>751.9</v>
    <v>726.55</v>
    <v>698.4</v>
    <v>685.6</v>
    <v>686.6</v>
    <v>695.8</v>
    <v>711.65</v>
    <v>693.05</v>
    <v>710.15</v>
    <v>710</v>
    <v>698.7</v>
    <v>689.95</v>
    <v>691.05</v>
    <v>707.7</v>
    <v>695.1</v>
    <v>696</v>
    <v>712.75</v>
    <v>721.4</v>
    <v>771.25</v>
    <v>744.1</v>
    <v>748.2</v>
    <v>746.9</v>
    <v>759.35</v>
    <v>790.05</v>
    <v>785.6</v>
    <v>798</v>
    <v>795.35</v>
    <v>794.65</v>
    <v>796.05</v>
    <v>796.05</v>
    <v>784.2</v>
    <v>809.65</v>
    <v>803.3</v>
    <v>767.8</v>
    <v>762.95</v>
    <v>763.6</v>
    <v>761.8</v>
    <v>751.75</v>
    <v>739.1</v>
    <v>733.3</v>
    <v>735</v>
    <v>747.55</v>
    <v>751.4</v>
    <v>762.95</v>
    <v>765</v>
    <v>759.65</v>
    <v>771.95</v>
    <v>769.85</v>
    <v>781.25</v>
    <v>776.05</v>
    <v>764.6</v>
    <v>769.8</v>
    <v>786.05</v>
    <v>774.05</v>
    <v>772.25</v>
    <v>777.6</v>
    <v>773.2</v>
    <v>765.55</v>
    <v>741.3</v>
    <v>741.8</v>
    <v>747.2</v>
    <v>747.2</v>
    <v>749.75</v>
    <v>712.3</v>
    <v>728.1</v>
    <v>729.65</v>
    <v>725.3</v>
    <v>728.2</v>
    <v>738.8</v>
    <v>740.25</v>
    <v>744</v>
    <v>730.3</v>
    <v>740.95</v>
    <v>736.45</v>
    <v>747.2</v>
    <v>722.1</v>
    <v>721.25</v>
    <v>722.1</v>
    <v>713.05</v>
    <v>708.75</v>
    <v>695.45</v>
    <v>705.15</v>
    <v>711.55</v>
    <v>705.65</v>
    <v>700.9</v>
    <v>680.35</v>
    <v>649.6</v>
    <v>640.1</v>
    <v>625.20000000000005</v>
    <v>628.45000000000005</v>
    <v>611.35</v>
    <v>608.1</v>
    <v>613.1</v>
    <v>616.20000000000005</v>
    <v>624.70000000000005</v>
    <v>616.35</v>
    <v>617.45000000000005</v>
    <v>609.45000000000005</v>
    <v>615.79999999999995</v>
    <v>615.35</v>
    <v>621.25</v>
    <v>613.29999999999995</v>
    <v>607.25</v>
    <v>609.29999999999995</v>
    <v>595.85</v>
    <v>586.9</v>
    <v>587.70000000000005</v>
    <v>594.04999999999995</v>
    <v>590.25</v>
    <v>590.5</v>
    <v>599.20000000000005</v>
    <v>594.29999999999995</v>
    <v>605.1</v>
    <v>602.25</v>
    <v>606.25</v>
    <v>594.85</v>
    <v>585.1</v>
    <v>580.1</v>
    <v>585.65</v>
    <v>589.9</v>
    <v>592.35</v>
    <v>594.6</v>
    <v>593.04999999999995</v>
    <v>595.6</v>
    <v>593.65</v>
    <v>590.25</v>
    <v>583.25</v>
    <v>579.04999999999995</v>
    <v>563.25</v>
    <v>569.70000000000005</v>
    <v>580.25</v>
    <v>580.85</v>
    <v>573</v>
    <v>570.65</v>
    <v>577.35</v>
    <v>591.85</v>
    <v>600.95000000000005</v>
    <v>604.65</v>
    <v>605.04999999999995</v>
    <v>608.65</v>
    <v>599.4</v>
    <v>611.6</v>
    <v>608.20000000000005</v>
    <v>603.1</v>
    <v>604.35</v>
    <v>610.6</v>
    <v>606.79999999999995</v>
    <v>611.70000000000005</v>
    <v>620.85</v>
    <v>623.6</v>
    <v>633</v>
    <v>623.70000000000005</v>
    <v>635.85</v>
    <v>634.9</v>
    <v>639.65</v>
    <v>642.04999999999995</v>
    <v>638.25</v>
    <v>646.85</v>
    <v>643.20000000000005</v>
    <v>639.29999999999995</v>
    <v>631.4</v>
    <v>626.35</v>
    <v>644.9</v>
    <v>661.2</v>
    <v>661.7</v>
    <v>668.45</v>
    <v>672.75</v>
    <v>673.7</v>
    <v>670.45</v>
    <v>670.95</v>
    <v>659.45</v>
    <v>667.05</v>
    <v>671.5</v>
    <v>670.3</v>
    <v>672.6</v>
    <v>674.15</v>
    <v>673.45</v>
    <v>663.4</v>
    <v>651.04999999999995</v>
    <v>662.3</v>
    <v>659.45</v>
    <v>668.3</v>
    <v>660.95</v>
    <v>636.35</v>
    <v>653.15</v>
    <v>642.45000000000005</v>
  </a>
  <a r="1" c="248">
    <v>2145.5500000000002</v>
    <v>2169.25</v>
    <v>2143.15</v>
    <v>2116.1999999999998</v>
    <v>2098.15</v>
    <v>2089.9</v>
    <v>2158.35</v>
    <v>2192.4499999999998</v>
    <v>2177.0500000000002</v>
    <v>2219.5500000000002</v>
    <v>2237.0500000000002</v>
    <v>2250.85</v>
    <v>2268.5500000000002</v>
    <v>2250.75</v>
    <v>2285.4499999999998</v>
    <v>2289.8000000000002</v>
    <v>2307.65</v>
    <v>2302.1</v>
    <v>2291.4499999999998</v>
    <v>2320.85</v>
    <v>2362.15</v>
    <v>2357.75</v>
    <v>2333.3000000000002</v>
    <v>2320.5</v>
    <v>2354.4</v>
    <v>2399.8000000000002</v>
    <v>2451.25</v>
    <v>2496.15</v>
    <v>2520.4499999999998</v>
    <v>2523.25</v>
    <v>2554.1</v>
    <v>2640.85</v>
    <v>2649.35</v>
    <v>2636.8</v>
    <v>2640.65</v>
    <v>2622.5</v>
    <v>2665.75</v>
    <v>2716.3</v>
    <v>2723.25</v>
    <v>2720.8</v>
    <v>2680.15</v>
    <v>2677.85</v>
    <v>2670.75</v>
    <v>2663.25</v>
    <v>2666.9</v>
    <v>2700.35</v>
    <v>2736.3</v>
    <v>2820.3</v>
    <v>2866.7</v>
    <v>2832.75</v>
    <v>2815.8</v>
    <v>2803.85</v>
    <v>2869.65</v>
    <v>2844.15</v>
    <v>2857.6</v>
    <v>2857.45</v>
    <v>2869.15</v>
    <v>2901.85</v>
    <v>2799.05</v>
    <v>2806.8</v>
    <v>2833.9</v>
    <v>2818.75</v>
    <v>2809.95</v>
    <v>2800.65</v>
    <v>2802.2</v>
    <v>2804.3</v>
    <v>2769.75</v>
    <v>2704.2</v>
    <v>2690.3</v>
    <v>2656.25</v>
    <v>2686.65</v>
    <v>2661.95</v>
    <v>2662.6</v>
    <v>2645.45</v>
    <v>2612</v>
    <v>2655.15</v>
    <v>2621.6</v>
    <v>2619.75</v>
    <v>2691.4</v>
    <v>2712.65</v>
    <v>2664.95</v>
    <v>2689.75</v>
    <v>2637.7</v>
    <v>2643.5</v>
    <v>2618.3000000000002</v>
    <v>2564.4</v>
    <v>2560.5500000000002</v>
    <v>2584.4</v>
    <v>2643.75</v>
    <v>2634.45</v>
    <v>2643.55</v>
    <v>2648</v>
    <v>2628.65</v>
    <v>2652.25</v>
    <v>2656.35</v>
    <v>2661.2</v>
    <v>2654.55</v>
    <v>2675</v>
    <v>2682.45</v>
    <v>2693.2</v>
    <v>2699.25</v>
    <v>2662</v>
    <v>2696.95</v>
    <v>2696.45</v>
    <v>2703.9</v>
    <v>2662.1</v>
    <v>2692.35</v>
    <v>2727.95</v>
    <v>2748.7</v>
    <v>2733.55</v>
    <v>2736.2</v>
    <v>2733.8</v>
    <v>2757.2</v>
    <v>2772.4</v>
    <v>2761.75</v>
    <v>2739.65</v>
    <v>2688.15</v>
    <v>2648.8</v>
    <v>2636.3</v>
    <v>2616.5500000000002</v>
    <v>2592.9</v>
    <v>2599.85</v>
    <v>2576.6999999999998</v>
    <v>2565.75</v>
    <v>2551.75</v>
    <v>2490.25</v>
    <v>2513.5500000000002</v>
    <v>2537.15</v>
    <v>2587.9</v>
    <v>2601.6999999999998</v>
    <v>2550.15</v>
    <v>2530</v>
    <v>2537</v>
    <v>2510.9499999999998</v>
    <v>2518.1</v>
    <v>2522.3000000000002</v>
    <v>2552.35</v>
    <v>2529.1999999999998</v>
    <v>2479.5</v>
    <v>2495.5</v>
    <v>2505.15</v>
    <v>2449.8000000000002</v>
    <v>2437.4499999999998</v>
    <v>2488.65</v>
    <v>2453.1999999999998</v>
    <v>2402.6</v>
    <v>2409.6</v>
    <v>2382.35</v>
    <v>2315.3000000000002</v>
    <v>2290.65</v>
    <v>2283.4</v>
    <v>2279.5500000000002</v>
    <v>2315.3000000000002</v>
    <v>2291.4499999999998</v>
    <v>2341.5500000000002</v>
    <v>2333.3000000000002</v>
    <v>2315.1999999999998</v>
    <v>2333.75</v>
    <v>2327.65</v>
    <v>2316.15</v>
    <v>2301.9499999999998</v>
    <v>2296.1</v>
    <v>2311.3000000000002</v>
    <v>2316.75</v>
    <v>2333.1</v>
    <v>2320.0500000000002</v>
    <v>2331.85</v>
    <v>2294.65</v>
    <v>2268.15</v>
    <v>2275.6999999999998</v>
    <v>2279.65</v>
    <v>2300.8000000000002</v>
    <v>2307.5</v>
    <v>2309.9</v>
    <v>2318.75</v>
    <v>2351</v>
    <v>2348.1</v>
    <v>2308.5500000000002</v>
    <v>2313.5</v>
    <v>2292.5500000000002</v>
    <v>2302.25</v>
    <v>2311.4499999999998</v>
    <v>2341.1999999999998</v>
    <v>2349.9</v>
    <v>2372.4</v>
    <v>2358.4499999999998</v>
    <v>2377.0500000000002</v>
    <v>2368.1</v>
    <v>2364.5500000000002</v>
    <v>2352.0500000000002</v>
    <v>2336.0500000000002</v>
    <v>2315.1999999999998</v>
    <v>2353</v>
    <v>2327.6</v>
    <v>2322.4499999999998</v>
    <v>2332.0500000000002</v>
    <v>2355.6999999999998</v>
    <v>2346.15</v>
    <v>2347.8000000000002</v>
    <v>2350.1999999999998</v>
    <v>2369.6999999999998</v>
    <v>2432.5</v>
    <v>2408.6</v>
    <v>2408.1</v>
    <v>2440.15</v>
    <v>2421.15</v>
    <v>2411.35</v>
    <v>2411.75</v>
    <v>2389.1999999999998</v>
    <v>2419.25</v>
    <v>2419.75</v>
    <v>2463.9499999999998</v>
    <v>2465.15</v>
    <v>2472.1</v>
    <v>2450.6999999999998</v>
    <v>2471.75</v>
    <v>2509.4</v>
    <v>2566.4499999999998</v>
    <v>2587.25</v>
    <v>2550.35</v>
    <v>2544.1999999999998</v>
    <v>2545.1</v>
    <v>2552.25</v>
    <v>2566.6</v>
    <v>2535.1999999999998</v>
    <v>2533.3000000000002</v>
    <v>2526.65</v>
    <v>2523.25</v>
    <v>2586.15</v>
    <v>2582.9499999999998</v>
    <v>2594.1999999999998</v>
    <v>2607.85</v>
    <v>2651.55</v>
    <v>2632.45</v>
    <v>2638.55</v>
    <v>2624.1</v>
    <v>2654.85</v>
    <v>2634.45</v>
    <v>2614.9499999999998</v>
    <v>2640.75</v>
    <v>2686.65</v>
    <v>2693.1</v>
    <v>2680.7</v>
    <v>2697.7</v>
    <v>2673.3</v>
    <v>2678.5</v>
    <v>2671.25</v>
    <v>2636.3</v>
  </a>
  <a r="1" c="248">
    <v>527.75</v>
    <v>533.6</v>
    <v>542.65</v>
    <v>535.54999999999995</v>
    <v>513.4</v>
    <v>512.25</v>
    <v>541.45000000000005</v>
    <v>548.29999999999995</v>
    <v>555.1</v>
    <v>562.95000000000005</v>
    <v>570.79999999999995</v>
    <v>575.20000000000005</v>
    <v>581.95000000000005</v>
    <v>578.20000000000005</v>
    <v>581.70000000000005</v>
    <v>559.65</v>
    <v>565.29999999999995</v>
    <v>559.95000000000005</v>
    <v>558.79999999999995</v>
    <v>577.35</v>
    <v>584.04999999999995</v>
    <v>581.04999999999995</v>
    <v>573.35</v>
    <v>552.4</v>
    <v>558.65</v>
    <v>565.45000000000005</v>
    <v>550.25</v>
    <v>559.65</v>
    <v>565.9</v>
    <v>573.20000000000005</v>
    <v>569.29999999999995</v>
    <v>575.65</v>
    <v>567.54999999999995</v>
    <v>568.6</v>
    <v>588.15</v>
    <v>574.15</v>
    <v>584.25</v>
    <v>605.85</v>
    <v>620.15</v>
    <v>596.6</v>
    <v>564.70000000000005</v>
    <v>581.25</v>
    <v>579.15</v>
    <v>585</v>
    <v>591</v>
    <v>603.20000000000005</v>
    <v>616.29999999999995</v>
    <v>618.5</v>
    <v>606.4</v>
    <v>598.9</v>
    <v>611.35</v>
    <v>612.25</v>
    <v>607.4</v>
    <v>601</v>
    <v>625.15</v>
    <v>624.25</v>
    <v>635.29999999999995</v>
    <v>634.5</v>
    <v>626.54999999999995</v>
    <v>614.70000000000005</v>
    <v>624.29999999999995</v>
    <v>623.04999999999995</v>
    <v>634.95000000000005</v>
    <v>621.04999999999995</v>
    <v>602.65</v>
    <v>607.25</v>
    <v>603.4</v>
    <v>603.6</v>
    <v>622.70000000000005</v>
    <v>614.95000000000005</v>
    <v>633.4</v>
    <v>639.20000000000005</v>
    <v>618.95000000000005</v>
    <v>615.75</v>
    <v>600.20000000000005</v>
    <v>604.1</v>
    <v>604.6</v>
    <v>597.6</v>
    <v>596.29999999999995</v>
    <v>601.4</v>
    <v>605.1</v>
    <v>591.75</v>
    <v>590.70000000000005</v>
    <v>596.29999999999995</v>
    <v>591.35</v>
    <v>592.85</v>
    <v>594.20000000000005</v>
    <v>609.95000000000005</v>
    <v>620</v>
    <v>615.95000000000005</v>
    <v>608.4</v>
    <v>606.35</v>
    <v>612.70000000000005</v>
    <v>566.45000000000005</v>
    <v>554.29999999999995</v>
    <v>563.04999999999995</v>
    <v>562.1</v>
    <v>561</v>
    <v>555.1</v>
    <v>552.45000000000005</v>
    <v>551.04999999999995</v>
    <v>536.65</v>
    <v>544.79999999999995</v>
    <v>540.54999999999995</v>
    <v>549.9</v>
    <v>556.25</v>
    <v>553.04999999999995</v>
    <v>546.04999999999995</v>
    <v>546.85</v>
    <v>547.15</v>
    <v>547.65</v>
    <v>553.85</v>
    <v>555.29999999999995</v>
    <v>538.70000000000005</v>
    <v>536.85</v>
    <v>535.65</v>
    <v>528</v>
    <v>521.4</v>
    <v>533.4</v>
    <v>523.85</v>
    <v>520.20000000000005</v>
    <v>519.29999999999995</v>
    <v>520.6</v>
    <v>521.20000000000005</v>
    <v>533.79999999999995</v>
    <v>511.25</v>
    <v>521.29999999999995</v>
    <v>519.65</v>
    <v>514.5</v>
    <v>510.1</v>
    <v>511.05</v>
    <v>505.05</v>
    <v>507.35</v>
    <v>499.3</v>
    <v>503.8</v>
    <v>498</v>
    <v>499.5</v>
    <v>492.1</v>
    <v>491.2</v>
    <v>488.55</v>
    <v>497.65</v>
    <v>497.35</v>
    <v>495.75</v>
    <v>503.8</v>
    <v>510.5</v>
    <v>510</v>
    <v>509.15</v>
    <v>503.2</v>
    <v>493.85</v>
    <v>484.3</v>
    <v>485.3</v>
    <v>486.85</v>
    <v>456.45</v>
    <v>435.6</v>
    <v>430</v>
    <v>444.5</v>
    <v>437.1</v>
    <v>443.35</v>
    <v>457.9</v>
    <v>460.35</v>
    <v>458.55</v>
    <v>451</v>
    <v>454.25</v>
    <v>466.4</v>
    <v>456.95</v>
    <v>458.75</v>
    <v>460.5</v>
    <v>453.3</v>
    <v>442.75</v>
    <v>442.15</v>
    <v>434.35</v>
    <v>440.85</v>
    <v>442.9</v>
    <v>441.3</v>
    <v>441.35</v>
    <v>447.1</v>
    <v>457.35</v>
    <v>460.6</v>
    <v>453.6</v>
    <v>442.85</v>
    <v>437.4</v>
    <v>427.35</v>
    <v>425.35</v>
    <v>426.7</v>
    <v>435.05</v>
    <v>445.2</v>
    <v>449.4</v>
    <v>448.15</v>
    <v>440.95</v>
    <v>439.9</v>
    <v>431</v>
    <v>430.05</v>
    <v>440.1</v>
    <v>435.7</v>
    <v>435.3</v>
    <v>433</v>
    <v>425.5</v>
    <v>422.1</v>
    <v>430.75</v>
    <v>435.15</v>
    <v>431</v>
    <v>440.65</v>
    <v>437.75</v>
    <v>438.2</v>
    <v>442.55</v>
    <v>449.75</v>
    <v>450.1</v>
    <v>444.25</v>
    <v>444.9</v>
    <v>446.45</v>
    <v>461.6</v>
    <v>458</v>
    <v>471.9</v>
    <v>465.15</v>
    <v>466</v>
    <v>463.6</v>
    <v>469.15</v>
    <v>470.5</v>
    <v>467.35</v>
    <v>469.05</v>
    <v>466.7</v>
    <v>481.1</v>
    <v>474.7</v>
    <v>468.7</v>
    <v>469.6</v>
    <v>474</v>
    <v>473.8</v>
    <v>489.15</v>
    <v>483.65</v>
    <v>482.4</v>
    <v>487.95</v>
    <v>483.3</v>
    <v>491.5</v>
    <v>492.05</v>
    <v>494</v>
    <v>490.75</v>
    <v>493.05</v>
    <v>486.05</v>
    <v>479.55</v>
    <v>483.15</v>
    <v>485</v>
    <v>494.3</v>
    <v>497</v>
    <v>498.15</v>
    <v>494.4</v>
    <v>497</v>
    <v>495.15</v>
    <v>495.3</v>
  </a>
  <a r="1" c="248">
    <v>2252.6</v>
    <v>2303.9</v>
    <v>2320.65</v>
    <v>2317.65</v>
    <v>2233.4499999999998</v>
    <v>2230.6</v>
    <v>2282.35</v>
    <v>2375.1999999999998</v>
    <v>2401.5</v>
    <v>2498.4</v>
    <v>2472.9499999999998</v>
    <v>2496.85</v>
    <v>2490.6</v>
    <v>2449.5500000000002</v>
    <v>2497.75</v>
    <v>2497.8000000000002</v>
    <v>2568.5</v>
    <v>2553.5</v>
    <v>2567.9499999999998</v>
    <v>2604.5</v>
    <v>2607.4499999999998</v>
    <v>2640.6</v>
    <v>2623.6</v>
    <v>2547.1</v>
    <v>2581.9499999999998</v>
    <v>2620.1</v>
    <v>2637.4</v>
    <v>2593</v>
    <v>2635.25</v>
    <v>2626.35</v>
    <v>2627.95</v>
    <v>2645.4</v>
    <v>2650.35</v>
    <v>2642.8</v>
    <v>2613.6999999999998</v>
    <v>2594.9499999999998</v>
    <v>2644.5</v>
    <v>2684.65</v>
    <v>2682.05</v>
    <v>2634.55</v>
    <v>2626.7</v>
    <v>2592.75</v>
    <v>2588.25</v>
    <v>2574.1999999999998</v>
    <v>2571.5500000000002</v>
    <v>2575.8000000000002</v>
    <v>2659.85</v>
    <v>2606</v>
    <v>2603.6</v>
    <v>2600.6</v>
    <v>2573.1</v>
    <v>2564.6</v>
    <v>2577.15</v>
    <v>2588.6999999999998</v>
    <v>2580.4</v>
    <v>2586.6</v>
    <v>2571.4</v>
    <v>2560.4</v>
    <v>2528.15</v>
    <v>2579.25</v>
    <v>2583.5500000000002</v>
    <v>2623.6</v>
    <v>2692.75</v>
    <v>2682.05</v>
    <v>2660.55</v>
    <v>2679.25</v>
    <v>2702.1</v>
    <v>2700.55</v>
    <v>2696.45</v>
    <v>2622.5</v>
    <v>2667.95</v>
    <v>2614</v>
    <v>2599.6999999999998</v>
    <v>2605.6</v>
    <v>2550.65</v>
    <v>2591.35</v>
    <v>2566.4</v>
    <v>2575.8000000000002</v>
    <v>2590.5500000000002</v>
    <v>2602.25</v>
    <v>2583</v>
    <v>2600.9</v>
    <v>2653.9</v>
    <v>2573.1</v>
    <v>2505.4</v>
    <v>2519</v>
    <v>2524.25</v>
    <v>2550.6999999999998</v>
    <v>2551.8000000000002</v>
    <v>2518.3000000000002</v>
    <v>2546.35</v>
    <v>2520.35</v>
    <v>2532.8000000000002</v>
    <v>2508.8000000000002</v>
    <v>2513.6</v>
    <v>2503.0500000000002</v>
    <v>2457.8000000000002</v>
    <v>2457.5</v>
    <v>2477.85</v>
    <v>2460</v>
    <v>2483.6999999999998</v>
    <v>2501.4</v>
    <v>2515.6999999999998</v>
    <v>2507.35</v>
    <v>2549.15</v>
    <v>2537.4499999999998</v>
    <v>2525.1999999999998</v>
    <v>2634.2</v>
    <v>2684.35</v>
    <v>2662.85</v>
    <v>2615.1</v>
    <v>2619.85</v>
    <v>2654.55</v>
    <v>2707.35</v>
    <v>2705.45</v>
    <v>2722.25</v>
    <v>2717.25</v>
    <v>2710.3</v>
    <v>2684.65</v>
    <v>2663.25</v>
    <v>2671.3</v>
    <v>2718.1</v>
    <v>2674.55</v>
    <v>2666.2</v>
    <v>2645.35</v>
    <v>2621.1</v>
    <v>2617.4499999999998</v>
    <v>2593.25</v>
    <v>2583.6</v>
    <v>2568.0500000000002</v>
    <v>2561.0500000000002</v>
    <v>2558.4</v>
    <v>2542.0500000000002</v>
    <v>2536.1</v>
    <v>2583.6999999999998</v>
    <v>2576.4499999999998</v>
    <v>2624.05</v>
    <v>2643.85</v>
    <v>2593.25</v>
    <v>2590.0500000000002</v>
    <v>2624</v>
    <v>2597.1</v>
    <v>2667.55</v>
    <v>2686.2</v>
    <v>2649.75</v>
    <v>2548.75</v>
    <v>2596.4</v>
    <v>2600.5</v>
    <v>2622.35</v>
    <v>2612.15</v>
    <v>2568.15</v>
    <v>2576.75</v>
    <v>2574.25</v>
    <v>2634.85</v>
    <v>2648.75</v>
    <v>2637.6</v>
    <v>2601.1999999999998</v>
    <v>2582.8000000000002</v>
    <v>2586.6999999999998</v>
    <v>2577.5</v>
    <v>2581</v>
    <v>2579.6</v>
    <v>2548.4499999999998</v>
    <v>2527.1</v>
    <v>2515.5</v>
    <v>2511.4499999999998</v>
    <v>2516.15</v>
    <v>2494.0500000000002</v>
    <v>2490.65</v>
    <v>2484.1999999999998</v>
    <v>2468.15</v>
    <v>2460.65</v>
    <v>2466.25</v>
    <v>2455.35</v>
    <v>2471</v>
    <v>2484.85</v>
    <v>2485.1</v>
    <v>2461.4</v>
    <v>2465.4499999999998</v>
    <v>2455.1</v>
    <v>2442.4499999999998</v>
    <v>2406.1</v>
    <v>2459.35</v>
    <v>2447.4</v>
    <v>2511.1999999999998</v>
    <v>2462.6</v>
    <v>2476.35</v>
    <v>2485.1</v>
    <v>2480.8000000000002</v>
    <v>2499</v>
    <v>2482.8000000000002</v>
    <v>2530.85</v>
    <v>2560.35</v>
    <v>2536.1</v>
    <v>2582.75</v>
    <v>2565.25</v>
    <v>2532.15</v>
    <v>2547.75</v>
    <v>2528.9499999999998</v>
    <v>2536.1999999999998</v>
    <v>2551.85</v>
    <v>2541.0500000000002</v>
    <v>2531.6</v>
    <v>2492.6</v>
    <v>2497.9499999999998</v>
    <v>2499.75</v>
    <v>2490.4499999999998</v>
    <v>2510.8000000000002</v>
    <v>2468.9499999999998</v>
    <v>2457.3000000000002</v>
    <v>2451.6999999999998</v>
    <v>2486</v>
    <v>2506.75</v>
    <v>2500.75</v>
    <v>2516.3000000000002</v>
    <v>2515.8000000000002</v>
    <v>2522.6999999999998</v>
    <v>2592.4</v>
    <v>2623.4</v>
    <v>2662.25</v>
    <v>2675.9</v>
    <v>2661.75</v>
    <v>2627.55</v>
    <v>2641.45</v>
    <v>2638.1</v>
    <v>2628.3</v>
    <v>2614.9499999999998</v>
    <v>2597.25</v>
    <v>2652.35</v>
    <v>2650.3</v>
    <v>2656.55</v>
    <v>2667.55</v>
    <v>2697.9</v>
    <v>2716.7</v>
    <v>2695.8</v>
    <v>2691.15</v>
    <v>2716.2</v>
    <v>2679.9</v>
    <v>2636.2</v>
    <v>2643.45</v>
    <v>2675.9</v>
    <v>2698.75</v>
    <v>2689.7</v>
    <v>2715.65</v>
    <v>2683.25</v>
    <v>2676.1</v>
    <v>2676.6</v>
    <v>2654.35</v>
  </a>
  <a r="1" c="248">
    <v>1073.8499999999999</v>
    <v>1078.55</v>
    <v>1084.55</v>
    <v>1078.05</v>
    <v>1067.6500000000001</v>
    <v>1081.5999999999999</v>
    <v>1099.8499999999999</v>
    <v>1117.6500000000001</v>
    <v>1111</v>
    <v>1116.0999999999999</v>
    <v>1124.5999999999999</v>
    <v>1146.9000000000001</v>
    <v>1147.4000000000001</v>
    <v>1139.75</v>
    <v>1139.8499999999999</v>
    <v>1138.95</v>
    <v>1155.45</v>
    <v>1177.1500000000001</v>
    <v>1169.95</v>
    <v>1186.05</v>
    <v>1168.55</v>
    <v>1164.95</v>
    <v>1144.95</v>
    <v>1138.2</v>
    <v>1149.3499999999999</v>
    <v>1191.45</v>
    <v>1294.4000000000001</v>
    <v>1313.3</v>
    <v>1285.2</v>
    <v>1283.55</v>
    <v>1278.8</v>
    <v>1266.6500000000001</v>
    <v>1269.9000000000001</v>
    <v>1273.2</v>
    <v>1261.5</v>
    <v>1286.55</v>
    <v>1309.5999999999999</v>
    <v>1305.3499999999999</v>
    <v>1324.2</v>
    <v>1296.95</v>
    <v>1276</v>
    <v>1279.25</v>
    <v>1287.5</v>
    <v>1297</v>
    <v>1313.7</v>
    <v>1298.2</v>
    <v>1329.1</v>
    <v>1296.55</v>
    <v>1288.2</v>
    <v>1293.4000000000001</v>
    <v>1311.35</v>
    <v>1331.55</v>
    <v>1317.7</v>
    <v>1297.45</v>
    <v>1306</v>
    <v>1324.4</v>
    <v>1303.3</v>
    <v>1295</v>
    <v>1272.25</v>
    <v>1303.3</v>
    <v>1309.3</v>
    <v>1306.3</v>
    <v>1285.5</v>
    <v>1273</v>
    <v>1259.8</v>
    <v>1242.3</v>
    <v>1238.8</v>
    <v>1239.8</v>
    <v>1250.45</v>
    <v>1237.25</v>
    <v>1260.6500000000001</v>
    <v>1245.1500000000001</v>
    <v>1243.2</v>
    <v>1239.3</v>
    <v>1206.3499999999999</v>
    <v>1212.2</v>
    <v>1187.9000000000001</v>
    <v>1179.8</v>
    <v>1189.8</v>
    <v>1219.05</v>
    <v>1227.0999999999999</v>
    <v>1222.95</v>
    <v>1246.3499999999999</v>
    <v>1257.5999999999999</v>
    <v>1254.8499999999999</v>
    <v>1252.9000000000001</v>
    <v>1252.8</v>
    <v>1265.95</v>
    <v>1268.75</v>
    <v>1272.6500000000001</v>
    <v>1276.05</v>
    <v>1265.5999999999999</v>
    <v>1278.6500000000001</v>
    <v>1263.8</v>
    <v>1238.3499999999999</v>
    <v>1250.25</v>
    <v>1248.5999999999999</v>
    <v>1259.3</v>
    <v>1254.9000000000001</v>
    <v>1254.3499999999999</v>
    <v>1242.75</v>
    <v>1226.5999999999999</v>
    <v>1229.05</v>
    <v>1226.3</v>
    <v>1240.6500000000001</v>
    <v>1235.25</v>
    <v>1253.5</v>
    <v>1258.4000000000001</v>
    <v>1282.9000000000001</v>
    <v>1290.75</v>
    <v>1295.1500000000001</v>
    <v>1284.55</v>
    <v>1285.0999999999999</v>
    <v>1262.05</v>
    <v>1266.8499999999999</v>
    <v>1269.6500000000001</v>
    <v>1263.2</v>
    <v>1277.8</v>
    <v>1269.75</v>
    <v>1273.5</v>
    <v>1254.1500000000001</v>
    <v>1267.5</v>
    <v>1231.25</v>
    <v>1234.3499999999999</v>
    <v>1244.75</v>
    <v>1224.5999999999999</v>
    <v>1243.3</v>
    <v>1241.05</v>
    <v>1242.05</v>
    <v>1258.5999999999999</v>
    <v>1231.3</v>
    <v>1240.05</v>
    <v>1268.4000000000001</v>
    <v>1259.05</v>
    <v>1267.6500000000001</v>
    <v>1269.05</v>
    <v>1306.3499999999999</v>
    <v>1302.5999999999999</v>
    <v>1291.3</v>
    <v>1315.7</v>
    <v>1312.95</v>
    <v>1300.9000000000001</v>
    <v>1298.45</v>
    <v>1310.6500000000001</v>
    <v>1323.1</v>
    <v>1296.0999999999999</v>
    <v>1295.4000000000001</v>
    <v>1273.25</v>
    <v>1257.45</v>
    <v>1250.25</v>
    <v>1233.45</v>
    <v>1219.55</v>
    <v>1109.4000000000001</v>
    <v>1107.5</v>
    <v>1138.05</v>
    <v>1138.4000000000001</v>
    <v>1131.75</v>
    <v>1164.5</v>
    <v>1180.45</v>
    <v>1184.5</v>
    <v>1179.0999999999999</v>
    <v>1161.7</v>
    <v>1180.3499999999999</v>
    <v>1174.0999999999999</v>
    <v>1149.7</v>
    <v>1158.4000000000001</v>
    <v>1150.3499999999999</v>
    <v>1131.1500000000001</v>
    <v>1135.4000000000001</v>
    <v>1122.05</v>
    <v>1129.1500000000001</v>
    <v>1121</v>
    <v>1118.1500000000001</v>
    <v>1100.1500000000001</v>
    <v>1129.25</v>
    <v>1128.7</v>
    <v>1129.2</v>
    <v>1096.7</v>
    <v>1095.9000000000001</v>
    <v>1072.5</v>
    <v>1077.0999999999999</v>
    <v>1067.05</v>
    <v>1062.6500000000001</v>
    <v>1071.5999999999999</v>
    <v>1074.0999999999999</v>
    <v>1097.7</v>
    <v>1113.0999999999999</v>
    <v>1118.6500000000001</v>
    <v>1112.2</v>
    <v>1099.3</v>
    <v>1091.3</v>
    <v>1098.7</v>
    <v>1101.0999999999999</v>
    <v>1103.8</v>
    <v>1105.55</v>
    <v>1116.25</v>
    <v>1106.25</v>
    <v>1112.6500000000001</v>
    <v>1126.8499999999999</v>
    <v>1130.25</v>
    <v>1145.3499999999999</v>
    <v>1145.55</v>
    <v>1123.4000000000001</v>
    <v>1128.8499999999999</v>
    <v>1106.55</v>
    <v>1105.7</v>
    <v>1105.8499999999999</v>
    <v>1118.3</v>
    <v>1137.05</v>
    <v>1140.0999999999999</v>
    <v>1150.9000000000001</v>
    <v>1136.9000000000001</v>
    <v>1167.45</v>
    <v>1173.7</v>
    <v>1182.3499999999999</v>
    <v>1183.1500000000001</v>
    <v>1188.8</v>
    <v>1185.4000000000001</v>
    <v>1187.05</v>
    <v>1189.45</v>
    <v>1180.75</v>
    <v>1162.5999999999999</v>
    <v>1152.7</v>
    <v>1154.1500000000001</v>
    <v>1150.8</v>
    <v>1165.5999999999999</v>
    <v>1175.3499999999999</v>
    <v>1177.3499999999999</v>
    <v>1195.75</v>
    <v>1218.0999999999999</v>
    <v>1215.9000000000001</v>
    <v>1235</v>
    <v>1207.75</v>
    <v>1202.5</v>
    <v>1215.4000000000001</v>
    <v>1223</v>
    <v>1245.8</v>
    <v>1238.9000000000001</v>
    <v>1232.4000000000001</v>
    <v>1238.9000000000001</v>
    <v>1243.3</v>
    <v>1242.3</v>
    <v>1241.0999999999999</v>
    <v>1281.3499999999999</v>
    <v>1280.5</v>
    <v>1295.3499999999999</v>
    <v>1294.95</v>
    <v>1276.5</v>
  </a>
  <a r="1" c="248">
    <v>1475.9</v>
    <v>1520.7</v>
    <v>1542.4</v>
    <v>1537.5</v>
    <v>1561.75</v>
    <v>1560.85</v>
    <v>1553.4</v>
    <v>1556</v>
    <v>1550.4</v>
    <v>1612.6</v>
    <v>1664.4</v>
    <v>1658.6</v>
    <v>1669.6</v>
    <v>1647.4</v>
    <v>1641.9</v>
    <v>1671.05</v>
    <v>1692.8</v>
    <v>1688.4</v>
    <v>1689.65</v>
    <v>1695.35</v>
    <v>1710.05</v>
    <v>1738.7</v>
    <v>1727.75</v>
    <v>1731.9</v>
    <v>1765.2</v>
    <v>1781.1</v>
    <v>1773.4</v>
    <v>1783.1</v>
    <v>1783.6</v>
    <v>1786.05</v>
    <v>1789.5</v>
    <v>1787.4</v>
    <v>1802.45</v>
    <v>1794.45</v>
    <v>1798.5</v>
    <v>1786.15</v>
    <v>1790.6</v>
    <v>1815.7</v>
    <v>1818.35</v>
    <v>1838.6</v>
    <v>1763.95</v>
    <v>1797.35</v>
    <v>1792.65</v>
    <v>1838.7</v>
    <v>1816.5</v>
    <v>1798.45</v>
    <v>1824.15</v>
    <v>1819.1</v>
    <v>1793.4</v>
    <v>1790.95</v>
    <v>1799.35</v>
    <v>1817.15</v>
    <v>1802.9</v>
    <v>1754.3</v>
    <v>1752.55</v>
    <v>1770.65</v>
    <v>1759.55</v>
    <v>1745.95</v>
    <v>1713.45</v>
    <v>1709.95</v>
    <v>1737.6</v>
    <v>1699.5</v>
    <v>1686.3</v>
    <v>1655.7</v>
    <v>1632.55</v>
    <v>1623.15</v>
    <v>1633.9</v>
    <v>1640.55</v>
    <v>1634.5</v>
    <v>1620.7</v>
    <v>1651.25</v>
    <v>1656</v>
    <v>1646.45</v>
    <v>1647.35</v>
    <v>1622.65</v>
    <v>1596.9</v>
    <v>1579.5</v>
    <v>1566.2</v>
    <v>1556.1</v>
    <v>1600.65</v>
    <v>1622.15</v>
    <v>1645.65</v>
    <v>1593.2</v>
    <v>1607.7</v>
    <v>1561.85</v>
    <v>1582.25</v>
    <v>1565.05</v>
    <v>1575.45</v>
    <v>1564.55</v>
    <v>1544.55</v>
    <v>1518.95</v>
    <v>1520.2</v>
    <v>1527.65</v>
    <v>1503.3</v>
    <v>1515.35</v>
    <v>1530.55</v>
    <v>1529</v>
    <v>1525.75</v>
    <v>1522.35</v>
    <v>1526.6</v>
    <v>1522.7</v>
    <v>1497</v>
    <v>1497.7</v>
    <v>1492.3</v>
    <v>1487.2</v>
    <v>1511.45</v>
    <v>1519.7</v>
    <v>1526.05</v>
    <v>1527.65</v>
    <v>1522.85</v>
    <v>1536</v>
    <v>1529.55</v>
    <v>1525.6</v>
    <v>1512.55</v>
    <v>1523.3</v>
    <v>1516.8</v>
    <v>1508.55</v>
    <v>1515.05</v>
    <v>1509.5</v>
    <v>1500.15</v>
    <v>1488.3</v>
    <v>1496.4</v>
    <v>1507.45</v>
    <v>1495.75</v>
    <v>1488.9</v>
    <v>1474.65</v>
    <v>1485.85</v>
    <v>1487.65</v>
    <v>1488.8</v>
    <v>1484.85</v>
    <v>1497.1</v>
    <v>1496.05</v>
    <v>1515.5</v>
    <v>1505.75</v>
    <v>1512.15</v>
    <v>1501</v>
    <v>1492.75</v>
    <v>1486.1</v>
    <v>1482.65</v>
    <v>1480.7</v>
    <v>1448.4</v>
    <v>1475.45</v>
    <v>1440.85</v>
    <v>1440.4</v>
    <v>1440.4</v>
    <v>1423.9</v>
    <v>1428.95</v>
    <v>1429.85</v>
    <v>1409.7</v>
    <v>1392.4</v>
    <v>1412.75</v>
    <v>1391.1</v>
    <v>1344.5</v>
    <v>1260.0999999999999</v>
    <v>1260.8</v>
    <v>1262.9000000000001</v>
    <v>1253.8499999999999</v>
    <v>1278.3</v>
    <v>1282.6500000000001</v>
    <v>1291.8</v>
    <v>1290.05</v>
    <v>1284.75</v>
    <v>1306.75</v>
    <v>1308.3499999999999</v>
    <v>1286.7</v>
    <v>1296.7</v>
    <v>1297.95</v>
    <v>1279.05</v>
    <v>1269.55</v>
    <v>1321</v>
    <v>1310.3</v>
    <v>1304.25</v>
    <v>1305.4000000000001</v>
    <v>1310.7</v>
    <v>1320.85</v>
    <v>1339.7</v>
    <v>1363.4</v>
    <v>1363.65</v>
    <v>1354.4</v>
    <v>1315.15</v>
    <v>1324.65</v>
    <v>1339.8</v>
    <v>1340.9</v>
    <v>1363</v>
    <v>1342.45</v>
    <v>1340.2</v>
    <v>1347.15</v>
    <v>1340.7</v>
    <v>1334.6</v>
    <v>1330.2</v>
    <v>1323.05</v>
    <v>1294.2</v>
    <v>1315.05</v>
    <v>1326.75</v>
    <v>1325.25</v>
    <v>1328.65</v>
    <v>1326.85</v>
    <v>1317</v>
    <v>1311.45</v>
    <v>1337.1</v>
    <v>1329.7</v>
    <v>1328.1</v>
    <v>1327.7</v>
    <v>1322.95</v>
    <v>1322.2</v>
    <v>1321.95</v>
    <v>1325.2</v>
    <v>1320.7</v>
    <v>1315.55</v>
    <v>1323.05</v>
    <v>1316.85</v>
    <v>1335.05</v>
    <v>1341.5</v>
    <v>1325.65</v>
    <v>1344.85</v>
    <v>1333.45</v>
    <v>1315</v>
    <v>1311.8</v>
    <v>1327.55</v>
    <v>1357.8</v>
    <v>1366.55</v>
    <v>1348.15</v>
    <v>1362.7</v>
    <v>1367.7</v>
    <v>1371.65</v>
    <v>1390.65</v>
    <v>1386</v>
    <v>1426.15</v>
    <v>1436.5</v>
    <v>1424.3</v>
    <v>1433</v>
    <v>1426.7</v>
    <v>1434.45</v>
    <v>1419.25</v>
    <v>1433.4</v>
    <v>1432.6</v>
    <v>1441.95</v>
    <v>1433.4</v>
    <v>1421.2</v>
    <v>1449.25</v>
    <v>1461.4</v>
    <v>1466.6</v>
    <v>1464.9</v>
    <v>1467.55</v>
    <v>1449.6</v>
    <v>1454.2</v>
    <v>1470.7</v>
    <v>1463.65</v>
  </a>
  <a r="1" c="22">
    <v t="i">0</v>
    <v t="i">1</v>
    <v t="i">2</v>
    <v t="i">5</v>
    <v t="i">6</v>
    <v t="i">7</v>
    <v t="i">8</v>
    <v t="i">9</v>
    <v t="i">12</v>
    <v t="i">13</v>
    <v t="i">14</v>
    <v t="i">15</v>
    <v t="i">16</v>
    <v t="i">19</v>
    <v t="i">20</v>
    <v t="i">21</v>
    <v t="i">22</v>
    <v t="i">23</v>
    <v t="i">26</v>
    <v t="i">27</v>
    <v t="i">28</v>
    <v t="i">29</v>
  </a>
  <a r="1" c="22">
    <v>2185.15</v>
    <v>2204.6999999999998</v>
    <v>2218.4499999999998</v>
    <v>2224.5500000000002</v>
    <v>2210.8000000000002</v>
    <v>2205.65</v>
    <v>2207.8000000000002</v>
    <v>2234.5500000000002</v>
    <v>2268.3000000000002</v>
    <v>2277.9499999999998</v>
    <v>2315.5</v>
    <v>2340.3000000000002</v>
    <v>2363</v>
    <v>2339.9499999999998</v>
    <v>2354.4</v>
    <v>2355.0500000000002</v>
    <v>2361.3000000000002</v>
    <v>2366.8000000000002</v>
    <v>2366.35</v>
    <v>2382</v>
    <v>2394.4499999999998</v>
    <v>2416.25</v>
  </a>
  <a r="1" c="22">
    <v>2200</v>
    <v>2190</v>
    <v>2209</v>
    <v>2225</v>
    <v>2230</v>
    <v>2201.1</v>
    <v>2217</v>
    <v>2221</v>
    <v>2245</v>
    <v>2269</v>
    <v>2278</v>
    <v>2316.9499999999998</v>
    <v>2345</v>
    <v>2365</v>
    <v>2345.85</v>
    <v>2352.9</v>
    <v>2355</v>
    <v>2363.75</v>
    <v>2379</v>
    <v>2364.9499999999998</v>
    <v>2382</v>
    <v>2394.6</v>
  </a>
  <a r="1" c="22">
    <v>2208.5</v>
    <v>2207.3000000000002</v>
    <v>2220.75</v>
    <v>2241.8000000000002</v>
    <v>2237</v>
    <v>2224</v>
    <v>2222</v>
    <v>2237.3000000000002</v>
    <v>2272.8000000000002</v>
    <v>2280.6999999999998</v>
    <v>2318</v>
    <v>2345.0500000000002</v>
    <v>2368.85</v>
    <v>2370</v>
    <v>2357.9</v>
    <v>2360</v>
    <v>2369.5</v>
    <v>2380</v>
    <v>2419.9</v>
    <v>2389.65</v>
    <v>2412</v>
    <v>2424</v>
  </a>
  <a r="1" c="22">
    <v>2176</v>
    <v>2178</v>
    <v>2201</v>
    <v>2220.1999999999998</v>
    <v>2207.1999999999998</v>
    <v>2200</v>
    <v>2202.15</v>
    <v>2212.15</v>
    <v>2240</v>
    <v>2263.6999999999998</v>
    <v>2278</v>
    <v>2312.75</v>
    <v>2338.25</v>
    <v>2333.1</v>
    <v>2327.1</v>
    <v>2340</v>
    <v>2349</v>
    <v>2352.25</v>
    <v>2361</v>
    <v>2354.4499999999998</v>
    <v>2382</v>
    <v>2380</v>
  </a>
  <a r="1" c="22">
    <v>2648479</v>
    <v>1689521</v>
    <v>1249128</v>
    <v>1369656</v>
    <v>1716729</v>
    <v>2809284</v>
    <v>1049488</v>
    <v>1399950</v>
    <v>2344944</v>
    <v>1677680</v>
    <v>2128603</v>
    <v>2556995</v>
    <v>2501720</v>
    <v>1172382</v>
    <v>1688768</v>
    <v>1013564</v>
    <v>2561534</v>
    <v>1794542</v>
    <v>3111256</v>
    <v>1771306</v>
    <v>1607299</v>
    <v>1741775</v>
  </a>
  <a r="1" c="248">
    <v>1494.3</v>
    <v>1494.85</v>
    <v>1535.8</v>
    <v>1551.5</v>
    <v>1547.9</v>
    <v>1558.25</v>
    <v>1572.15</v>
    <v>1581.7</v>
    <v>1564.9</v>
    <v>1556.15</v>
    <v>1611.1</v>
    <v>1687.45</v>
    <v>1663</v>
    <v>1653.75</v>
    <v>1647.25</v>
    <v>1646.15</v>
    <v>1684.85</v>
    <v>1727.65</v>
    <v>1729.8</v>
    <v>1739.95</v>
    <v>1765.15</v>
    <v>1767.75</v>
    <v>1782.45</v>
    <v>1751.25</v>
    <v>1796.65</v>
    <v>1801.25</v>
    <v>1808.05</v>
    <v>1814.7</v>
    <v>1793.05</v>
    <v>1789.8</v>
    <v>1780.1</v>
    <v>1787.45</v>
    <v>1829.65</v>
    <v>1855.15</v>
    <v>1867.15</v>
    <v>1846.45</v>
    <v>1848.9</v>
    <v>1855.7</v>
    <v>1894.55</v>
    <v>1936.05</v>
    <v>1880.65</v>
    <v>1877.05</v>
    <v>1893.35</v>
    <v>1877.9</v>
    <v>1905.4</v>
    <v>1881.5</v>
    <v>1922.5</v>
    <v>1912.95</v>
    <v>1940.5</v>
    <v>1968.35</v>
    <v>1962.3</v>
    <v>1958.1</v>
    <v>1974.4</v>
    <v>1949.75</v>
    <v>1961.9</v>
    <v>1991.35</v>
    <v>1953.9</v>
    <v>1957.5</v>
    <v>1920</v>
    <v>1910.7</v>
    <v>1932.7</v>
    <v>1895.65</v>
    <v>1888.2</v>
    <v>1856.85</v>
    <v>1851.45</v>
    <v>1841.2</v>
    <v>1835.45</v>
    <v>1815.5</v>
    <v>1847.7</v>
    <v>1819.3</v>
    <v>1871.55</v>
    <v>1912.95</v>
    <v>1924.55</v>
    <v>1909.65</v>
    <v>1878.95</v>
    <v>1911.25</v>
    <v>1876.15</v>
    <v>1911.6</v>
    <v>1883.2</v>
    <v>1918.1</v>
    <v>1904.9</v>
    <v>1904.15</v>
    <v>1876.75</v>
    <v>1909.75</v>
    <v>1949.1</v>
    <v>1964.05</v>
    <v>1975.05</v>
    <v>2023.1</v>
    <v>2024.45</v>
    <v>2013.3</v>
    <v>2008.7</v>
    <v>2015.1</v>
    <v>2017.65</v>
    <v>2003.5</v>
    <v>1977.65</v>
    <v>2011.1</v>
    <v>1999.8</v>
    <v>1996.55</v>
    <v>2003.6</v>
    <v>2029.55</v>
    <v>2024.45</v>
    <v>2011.45</v>
    <v>2029.8</v>
    <v>2025</v>
    <v>2052.1999999999998</v>
    <v>2062.75</v>
    <v>2064.4499999999998</v>
    <v>2050.5500000000002</v>
    <v>2074.85</v>
    <v>2104.25</v>
    <v>2085.5</v>
    <v>2085.6</v>
    <v>2093.5</v>
    <v>2124</v>
    <v>2167.6999999999998</v>
    <v>2154.0500000000002</v>
    <v>2163.6999999999998</v>
    <v>2172.9</v>
    <v>2195.4499999999998</v>
    <v>2177.5500000000002</v>
    <v>2175</v>
    <v>2184</v>
    <v>2163.25</v>
    <v>2146.3000000000002</v>
    <v>2109.9499999999998</v>
    <v>2062.75</v>
    <v>2091.0500000000002</v>
    <v>2124.1</v>
    <v>2121.1</v>
    <v>2110.9</v>
    <v>2085.8000000000002</v>
    <v>2089.4499999999998</v>
    <v>2088.9499999999998</v>
    <v>2070.5500000000002</v>
    <v>2087.35</v>
    <v>2086.5500000000002</v>
    <v>2121.6999999999998</v>
    <v>2106.65</v>
    <v>2125.35</v>
    <v>2159.75</v>
    <v>2153.4</v>
    <v>2137.1999999999998</v>
    <v>2213.1</v>
    <v>2266.5</v>
    <v>2273.1</v>
    <v>2249.9499999999998</v>
    <v>2233.5</v>
    <v>2207.5</v>
    <v>2174.6999999999998</v>
    <v>2159.85</v>
    <v>2112.9</v>
    <v>2124.4</v>
    <v>2145.5500000000002</v>
    <v>2144.9</v>
    <v>2166.5500000000002</v>
    <v>2156.1</v>
    <v>2165.3000000000002</v>
    <v>2130.85</v>
    <v>2147.4</v>
    <v>2163.85</v>
    <v>2203.3000000000002</v>
    <v>2191.65</v>
    <v>2175.0500000000002</v>
    <v>2178.3000000000002</v>
    <v>2226.35</v>
    <v>2225.5</v>
    <v>2229.4499999999998</v>
    <v>2194.75</v>
    <v>2159.15</v>
    <v>2134.0500000000002</v>
    <v>2113.6999999999998</v>
    <v>2109.15</v>
    <v>2115.3000000000002</v>
    <v>2121.6</v>
    <v>2152.0500000000002</v>
    <v>2141.15</v>
    <v>2170.8000000000002</v>
    <v>2193.1999999999998</v>
    <v>2157.85</v>
    <v>2133.85</v>
    <v>2144.1999999999998</v>
    <v>2176.65</v>
    <v>2173.6</v>
    <v>2195.75</v>
    <v>2177.5500000000002</v>
    <v>2208.4499999999998</v>
    <v>2213.9499999999998</v>
    <v>2206.65</v>
    <v>2166.15</v>
    <v>2154</v>
    <v>2133.6</v>
    <v>2147.4499999999998</v>
    <v>2164.1999999999998</v>
    <v>2170.15</v>
    <v>2257.75</v>
    <v>2274.25</v>
    <v>2309.6999999999998</v>
    <v>2301.5</v>
    <v>2288.5</v>
    <v>2258.75</v>
    <v>2214</v>
    <v>2216.6</v>
    <v>2219.6</v>
    <v>2232.75</v>
    <v>2215.1999999999998</v>
    <v>2228.9</v>
    <v>2247.9499999999998</v>
    <v>2276.15</v>
    <v>2305.6</v>
    <v>2364.4</v>
    <v>2384.4499999999998</v>
    <v>2356.3000000000002</v>
    <v>2356.9</v>
    <v>2377.5</v>
    <v>2365.4</v>
    <v>2374.35</v>
    <v>2364.4499999999998</v>
    <v>2242.15</v>
    <v>2221.1</v>
    <v>2246.85</v>
    <v>2227.1999999999998</v>
    <v>2219.6</v>
    <v>2188.1999999999998</v>
    <v>2190.0500000000002</v>
    <v>2216.6</v>
    <v>2197.65</v>
    <v>2185.15</v>
    <v>2204.6999999999998</v>
    <v>2218.4499999999998</v>
    <v>2224.5500000000002</v>
    <v>2210.8000000000002</v>
    <v>2205.65</v>
    <v>2207.8000000000002</v>
    <v>2234.5500000000002</v>
    <v>2268.3000000000002</v>
    <v>2277.9499999999998</v>
    <v>2315.5</v>
    <v>2340.3000000000002</v>
    <v>2363</v>
    <v>2339.9499999999998</v>
    <v>2354.4</v>
    <v>2355.0500000000002</v>
    <v>2361.3000000000002</v>
    <v>2366.8000000000002</v>
    <v>2366.35</v>
    <v>2382</v>
    <v>2394.4499999999998</v>
    <v>2416.25</v>
  </a>
  <a r="1" c="248">
    <v>505.15</v>
    <v>509.75</v>
    <v>515.70000000000005</v>
    <v>512.1</v>
    <v>501.2</v>
    <v>495.95</v>
    <v>511.25</v>
    <v>525</v>
    <v>530.70000000000005</v>
    <v>542.95000000000005</v>
    <v>543.54999999999995</v>
    <v>543.9</v>
    <v>545.4</v>
    <v>543.45000000000005</v>
    <v>545.29999999999995</v>
    <v>549.25</v>
    <v>548.35</v>
    <v>550.1</v>
    <v>549.45000000000005</v>
    <v>558.25</v>
    <v>571.95000000000005</v>
    <v>576.29999999999995</v>
    <v>567.9</v>
    <v>558.25</v>
    <v>567.75</v>
    <v>572.70000000000005</v>
    <v>584.1</v>
    <v>580.79999999999995</v>
    <v>578.25</v>
    <v>569.79999999999995</v>
    <v>573.9</v>
    <v>579.15</v>
    <v>586.5</v>
    <v>584.95000000000005</v>
    <v>582.70000000000005</v>
    <v>581.6</v>
    <v>579.6</v>
    <v>584.95000000000005</v>
    <v>594.6</v>
    <v>587.20000000000005</v>
    <v>584.20000000000005</v>
    <v>588.1</v>
    <v>587.1</v>
    <v>579.70000000000005</v>
    <v>572</v>
    <v>573.04999999999995</v>
    <v>583.6</v>
    <v>569.6</v>
    <v>570.70000000000005</v>
    <v>570.1</v>
    <v>571</v>
    <v>572.35</v>
    <v>570.4</v>
    <v>574.9</v>
    <v>570.4</v>
    <v>571</v>
    <v>567</v>
    <v>563.45000000000005</v>
    <v>546.4</v>
    <v>548.15</v>
    <v>556.79999999999995</v>
    <v>561.5</v>
    <v>575.65</v>
    <v>568.54999999999995</v>
    <v>556.20000000000005</v>
    <v>560.5</v>
    <v>564.04999999999995</v>
    <v>575.75</v>
    <v>572.95000000000005</v>
    <v>557.15</v>
    <v>553.79999999999995</v>
    <v>546.4</v>
    <v>540.15</v>
    <v>529.1</v>
    <v>518.95000000000005</v>
    <v>533.6</v>
    <v>530</v>
    <v>531.35</v>
    <v>529.95000000000005</v>
    <v>531.35</v>
    <v>526.1</v>
    <v>535.95000000000005</v>
    <v>537.95000000000005</v>
    <v>536.85</v>
    <v>532.15</v>
    <v>549.04999999999995</v>
    <v>551.04999999999995</v>
    <v>554.70000000000005</v>
    <v>563.79999999999995</v>
    <v>562.25</v>
    <v>555.9</v>
    <v>557.5</v>
    <v>553.6</v>
    <v>554.15</v>
    <v>553.9</v>
    <v>553.1</v>
    <v>553.20000000000005</v>
    <v>550.75</v>
    <v>550.04999999999995</v>
    <v>551.9</v>
    <v>548.5</v>
    <v>550.79999999999995</v>
    <v>546.45000000000005</v>
    <v>551.4</v>
    <v>553.6</v>
    <v>556.54999999999995</v>
    <v>558.6</v>
    <v>593.1</v>
    <v>588.35</v>
    <v>586.79999999999995</v>
    <v>591.15</v>
    <v>587.1</v>
    <v>592.6</v>
    <v>602.25</v>
    <v>604.4</v>
    <v>598.75</v>
    <v>602.45000000000005</v>
    <v>594.20000000000005</v>
    <v>587.1</v>
    <v>586.9</v>
    <v>579.75</v>
    <v>589.04999999999995</v>
    <v>579.5</v>
    <v>577.25</v>
    <v>577.75</v>
    <v>565.85</v>
    <v>566.1</v>
    <v>573.5</v>
    <v>569.15</v>
    <v>560.95000000000005</v>
    <v>561.45000000000005</v>
    <v>561.54999999999995</v>
    <v>560.85</v>
    <v>559.85</v>
    <v>572.75</v>
    <v>552.85</v>
    <v>549.54999999999995</v>
    <v>554.6</v>
    <v>548.35</v>
    <v>544.95000000000005</v>
    <v>543.70000000000005</v>
    <v>553.04999999999995</v>
    <v>556.54999999999995</v>
    <v>557.6</v>
    <v>554.95000000000005</v>
    <v>566</v>
    <v>564.4</v>
    <v>566.95000000000005</v>
    <v>563.29999999999995</v>
    <v>562.04999999999995</v>
    <v>558.04999999999995</v>
    <v>557.75</v>
    <v>561.95000000000005</v>
    <v>554.45000000000005</v>
    <v>533.70000000000005</v>
    <v>544.70000000000005</v>
    <v>535.65</v>
    <v>533.95000000000005</v>
    <v>533.25</v>
    <v>532.4</v>
    <v>534.45000000000005</v>
    <v>530</v>
    <v>534.85</v>
    <v>535.6</v>
    <v>534.5</v>
    <v>535</v>
    <v>535.15</v>
    <v>533.20000000000005</v>
    <v>539.75</v>
    <v>534.9</v>
    <v>526.20000000000005</v>
    <v>532.6</v>
    <v>527.25</v>
    <v>530.1</v>
    <v>534.79999999999995</v>
    <v>537</v>
    <v>531.85</v>
    <v>526.65</v>
    <v>529.95000000000005</v>
    <v>523.54999999999995</v>
    <v>526.5</v>
    <v>521.85</v>
    <v>534.5</v>
    <v>536.15</v>
    <v>537.1</v>
    <v>532.29999999999995</v>
    <v>540.15</v>
    <v>539.4</v>
    <v>536.4</v>
    <v>541.45000000000005</v>
    <v>533.79999999999995</v>
    <v>535.65</v>
    <v>544.9</v>
    <v>547.6</v>
    <v>548.04999999999995</v>
    <v>525.9</v>
    <v>523.20000000000005</v>
    <v>521.85</v>
    <v>517.65</v>
    <v>527.15</v>
    <v>524.1</v>
    <v>520.9</v>
    <v>520.04999999999995</v>
    <v>525.29999999999995</v>
    <v>525.15</v>
    <v>524.85</v>
    <v>526.4</v>
    <v>533.65</v>
    <v>530.4</v>
    <v>532.9</v>
    <v>536.45000000000005</v>
    <v>537.95000000000005</v>
    <v>530.4</v>
    <v>505</v>
    <v>513.9</v>
    <v>517.9</v>
    <v>514.29999999999995</v>
    <v>520.20000000000005</v>
    <v>518.35</v>
    <v>533.04999999999995</v>
    <v>530.75</v>
    <v>523.95000000000005</v>
    <v>523.45000000000005</v>
    <v>519.1</v>
    <v>522.25</v>
    <v>525.75</v>
    <v>526.70000000000005</v>
    <v>530.15</v>
    <v>542.1</v>
    <v>548.35</v>
    <v>549.9</v>
    <v>555.4</v>
    <v>556.9</v>
    <v>557.20000000000005</v>
    <v>552.25</v>
    <v>547.5</v>
    <v>556.5</v>
    <v>552.1</v>
    <v>549.95000000000005</v>
    <v>553.6</v>
    <v>560.45000000000005</v>
    <v>562.35</v>
    <v>569.04999999999995</v>
    <v>570.9</v>
    <v>569.15</v>
    <v>572.1</v>
    <v>567.1</v>
    <v>562.65</v>
  </a>
  <a r="1" c="22">
    <v>526.70000000000005</v>
    <v>530.15</v>
    <v>542.1</v>
    <v>548.35</v>
    <v>549.9</v>
    <v>555.4</v>
    <v>556.9</v>
    <v>557.20000000000005</v>
    <v>552.25</v>
    <v>547.5</v>
    <v>556.5</v>
    <v>552.1</v>
    <v>549.95000000000005</v>
    <v>553.6</v>
    <v>560.45000000000005</v>
    <v>562.35</v>
    <v>569.04999999999995</v>
    <v>570.9</v>
    <v>569.15</v>
    <v>572.1</v>
    <v>567.1</v>
    <v>562.65</v>
  </a>
  <a r="1" c="22">
    <v>526.79999999999995</v>
    <v>526.70000000000005</v>
    <v>529.54999999999995</v>
    <v>545.95000000000005</v>
    <v>550</v>
    <v>548.5</v>
    <v>555.45000000000005</v>
    <v>557.5</v>
    <v>558.54999999999995</v>
    <v>553.54999999999995</v>
    <v>548.95000000000005</v>
    <v>559</v>
    <v>555.65</v>
    <v>549</v>
    <v>553.6</v>
    <v>561</v>
    <v>562.35</v>
    <v>573</v>
    <v>571.1</v>
    <v>567.35</v>
    <v>572</v>
    <v>567.1</v>
  </a>
  <a r="1" c="22">
    <v>528.5</v>
    <v>533.54999999999995</v>
    <v>543.70000000000005</v>
    <v>550</v>
    <v>552.9</v>
    <v>558</v>
    <v>563.9</v>
    <v>560</v>
    <v>563</v>
    <v>554.35</v>
    <v>558.20000000000005</v>
    <v>560</v>
    <v>556.5</v>
    <v>555.70000000000005</v>
    <v>562.9</v>
    <v>563.5</v>
    <v>570.5</v>
    <v>573</v>
    <v>573</v>
    <v>572.9</v>
    <v>575.5</v>
    <v>569.04999999999995</v>
  </a>
  <a r="1" c="22">
    <v>522.25</v>
    <v>525.54999999999995</v>
    <v>528.5</v>
    <v>542.4</v>
    <v>546.70000000000005</v>
    <v>546.04999999999995</v>
    <v>553.25</v>
    <v>555.85</v>
    <v>551.54999999999995</v>
    <v>541.54999999999995</v>
    <v>546.20000000000005</v>
    <v>551.29999999999995</v>
    <v>546.6</v>
    <v>546.65</v>
    <v>551.29999999999995</v>
    <v>557.75</v>
    <v>561.54999999999995</v>
    <v>565.25</v>
    <v>566.65</v>
    <v>563.1</v>
    <v>564.79999999999995</v>
    <v>560.04999999999995</v>
  </a>
  <a r="1" c="22">
    <v>2304274</v>
    <v>2297300</v>
    <v>2184804</v>
    <v>2215580</v>
    <v>2023557</v>
    <v>4905059</v>
    <v>1385234</v>
    <v>1166828</v>
    <v>1570130</v>
    <v>2685928</v>
    <v>2718117</v>
    <v>1650679</v>
    <v>2146305</v>
    <v>1007065</v>
    <v>2644392</v>
    <v>1577846</v>
    <v>2246105</v>
    <v>2022971</v>
    <v>1114637</v>
    <v>1068183</v>
    <v>1632121</v>
    <v>1815315</v>
  </a>
</arrayData>
</file>

<file path=xl/richData/rdrichvalue.xml><?xml version="1.0" encoding="utf-8"?>
<rvData xmlns="http://schemas.microsoft.com/office/spreadsheetml/2017/richdata" count="2564">
  <rv s="0">
    <v>en-IN</v>
    <v>avyo8m</v>
    <v>268435456</v>
    <v>1</v>
    <v>Powered by Refinitiv</v>
    <v>0</v>
    <v>USD/INR</v>
    <v>2</v>
    <v>3</v>
    <v>Finance</v>
    <v>4</v>
    <v>83.262500000000003</v>
    <v>77.850999999999999</v>
    <v>8.2500000000000004E-2</v>
    <v>1.0070000000000001E-3</v>
    <v>INR</v>
    <v>USD</v>
    <v>82.078000000000003</v>
    <v>Currency Pair</v>
    <v>45100.204409722224</v>
    <v>81.945999999999998</v>
    <v>US Dollar/Indian Rupee FX Spot Rate</v>
    <v>81.906999999999996</v>
    <v>81.95</v>
    <v>82.032499999999999</v>
    <v>USDINR</v>
    <v>USD/INR</v>
  </rv>
  <rv s="1">
    <v>0</v>
  </rv>
  <rv s="2">
    <fb>44735</fb>
    <v>5</v>
  </rv>
  <rv s="2">
    <fb>44736</fb>
    <v>5</v>
  </rv>
  <rv s="2">
    <fb>44739</fb>
    <v>5</v>
  </rv>
  <rv s="2">
    <fb>44740</fb>
    <v>5</v>
  </rv>
  <rv s="2">
    <fb>44741</fb>
    <v>5</v>
  </rv>
  <rv s="2">
    <fb>44742</fb>
    <v>5</v>
  </rv>
  <rv s="2">
    <fb>44743</fb>
    <v>5</v>
  </rv>
  <rv s="2">
    <fb>44746</fb>
    <v>5</v>
  </rv>
  <rv s="2">
    <fb>44747</fb>
    <v>5</v>
  </rv>
  <rv s="2">
    <fb>44748</fb>
    <v>5</v>
  </rv>
  <rv s="2">
    <fb>44749</fb>
    <v>5</v>
  </rv>
  <rv s="2">
    <fb>44750</fb>
    <v>5</v>
  </rv>
  <rv s="2">
    <fb>44753</fb>
    <v>5</v>
  </rv>
  <rv s="2">
    <fb>44754</fb>
    <v>5</v>
  </rv>
  <rv s="2">
    <fb>44755</fb>
    <v>5</v>
  </rv>
  <rv s="2">
    <fb>44756</fb>
    <v>5</v>
  </rv>
  <rv s="2">
    <fb>44757</fb>
    <v>5</v>
  </rv>
  <rv s="2">
    <fb>44760</fb>
    <v>5</v>
  </rv>
  <rv s="2">
    <fb>44761</fb>
    <v>5</v>
  </rv>
  <rv s="2">
    <fb>44762</fb>
    <v>5</v>
  </rv>
  <rv s="2">
    <fb>44763</fb>
    <v>5</v>
  </rv>
  <rv s="2">
    <fb>44764</fb>
    <v>5</v>
  </rv>
  <rv s="2">
    <fb>44767</fb>
    <v>5</v>
  </rv>
  <rv s="2">
    <fb>44768</fb>
    <v>5</v>
  </rv>
  <rv s="2">
    <fb>44769</fb>
    <v>5</v>
  </rv>
  <rv s="2">
    <fb>44770</fb>
    <v>5</v>
  </rv>
  <rv s="2">
    <fb>44771</fb>
    <v>5</v>
  </rv>
  <rv s="2">
    <fb>44774</fb>
    <v>5</v>
  </rv>
  <rv s="2">
    <fb>44775</fb>
    <v>5</v>
  </rv>
  <rv s="2">
    <fb>44776</fb>
    <v>5</v>
  </rv>
  <rv s="2">
    <fb>44777</fb>
    <v>5</v>
  </rv>
  <rv s="2">
    <fb>44778</fb>
    <v>5</v>
  </rv>
  <rv s="2">
    <fb>44781</fb>
    <v>5</v>
  </rv>
  <rv s="2">
    <fb>44783</fb>
    <v>5</v>
  </rv>
  <rv s="2">
    <fb>44784</fb>
    <v>5</v>
  </rv>
  <rv s="2">
    <fb>44785</fb>
    <v>5</v>
  </rv>
  <rv s="2">
    <fb>44789</fb>
    <v>5</v>
  </rv>
  <rv s="2">
    <fb>44790</fb>
    <v>5</v>
  </rv>
  <rv s="2">
    <fb>44791</fb>
    <v>5</v>
  </rv>
  <rv s="2">
    <fb>44792</fb>
    <v>5</v>
  </rv>
  <rv s="2">
    <fb>44795</fb>
    <v>5</v>
  </rv>
  <rv s="2">
    <fb>44796</fb>
    <v>5</v>
  </rv>
  <rv s="2">
    <fb>44797</fb>
    <v>5</v>
  </rv>
  <rv s="2">
    <fb>44798</fb>
    <v>5</v>
  </rv>
  <rv s="2">
    <fb>44799</fb>
    <v>5</v>
  </rv>
  <rv s="2">
    <fb>44802</fb>
    <v>5</v>
  </rv>
  <rv s="2">
    <fb>44803</fb>
    <v>5</v>
  </rv>
  <rv s="2">
    <fb>44805</fb>
    <v>5</v>
  </rv>
  <rv s="2">
    <fb>44806</fb>
    <v>5</v>
  </rv>
  <rv s="2">
    <fb>44809</fb>
    <v>5</v>
  </rv>
  <rv s="2">
    <fb>44810</fb>
    <v>5</v>
  </rv>
  <rv s="2">
    <fb>44811</fb>
    <v>5</v>
  </rv>
  <rv s="2">
    <fb>44812</fb>
    <v>5</v>
  </rv>
  <rv s="2">
    <fb>44813</fb>
    <v>5</v>
  </rv>
  <rv s="2">
    <fb>44816</fb>
    <v>5</v>
  </rv>
  <rv s="2">
    <fb>44817</fb>
    <v>5</v>
  </rv>
  <rv s="2">
    <fb>44818</fb>
    <v>5</v>
  </rv>
  <rv s="2">
    <fb>44819</fb>
    <v>5</v>
  </rv>
  <rv s="2">
    <fb>44820</fb>
    <v>5</v>
  </rv>
  <rv s="2">
    <fb>44823</fb>
    <v>5</v>
  </rv>
  <rv s="2">
    <fb>44824</fb>
    <v>5</v>
  </rv>
  <rv s="2">
    <fb>44825</fb>
    <v>5</v>
  </rv>
  <rv s="2">
    <fb>44826</fb>
    <v>5</v>
  </rv>
  <rv s="2">
    <fb>44827</fb>
    <v>5</v>
  </rv>
  <rv s="2">
    <fb>44830</fb>
    <v>5</v>
  </rv>
  <rv s="2">
    <fb>44831</fb>
    <v>5</v>
  </rv>
  <rv s="2">
    <fb>44832</fb>
    <v>5</v>
  </rv>
  <rv s="2">
    <fb>44833</fb>
    <v>5</v>
  </rv>
  <rv s="2">
    <fb>44834</fb>
    <v>5</v>
  </rv>
  <rv s="2">
    <fb>44837</fb>
    <v>5</v>
  </rv>
  <rv s="2">
    <fb>44838</fb>
    <v>5</v>
  </rv>
  <rv s="2">
    <fb>44840</fb>
    <v>5</v>
  </rv>
  <rv s="2">
    <fb>44841</fb>
    <v>5</v>
  </rv>
  <rv s="2">
    <fb>44844</fb>
    <v>5</v>
  </rv>
  <rv s="2">
    <fb>44845</fb>
    <v>5</v>
  </rv>
  <rv s="2">
    <fb>44846</fb>
    <v>5</v>
  </rv>
  <rv s="2">
    <fb>44847</fb>
    <v>5</v>
  </rv>
  <rv s="2">
    <fb>44848</fb>
    <v>5</v>
  </rv>
  <rv s="2">
    <fb>44851</fb>
    <v>5</v>
  </rv>
  <rv s="2">
    <fb>44852</fb>
    <v>5</v>
  </rv>
  <rv s="2">
    <fb>44853</fb>
    <v>5</v>
  </rv>
  <rv s="2">
    <fb>44854</fb>
    <v>5</v>
  </rv>
  <rv s="2">
    <fb>44855</fb>
    <v>5</v>
  </rv>
  <rv s="2">
    <fb>44858</fb>
    <v>5</v>
  </rv>
  <rv s="2">
    <fb>44859</fb>
    <v>5</v>
  </rv>
  <rv s="2">
    <fb>44861</fb>
    <v>5</v>
  </rv>
  <rv s="2">
    <fb>44862</fb>
    <v>5</v>
  </rv>
  <rv s="2">
    <fb>44865</fb>
    <v>5</v>
  </rv>
  <rv s="2">
    <fb>44866</fb>
    <v>5</v>
  </rv>
  <rv s="2">
    <fb>44867</fb>
    <v>5</v>
  </rv>
  <rv s="2">
    <fb>44868</fb>
    <v>5</v>
  </rv>
  <rv s="2">
    <fb>44869</fb>
    <v>5</v>
  </rv>
  <rv s="2">
    <fb>44872</fb>
    <v>5</v>
  </rv>
  <rv s="2">
    <fb>44874</fb>
    <v>5</v>
  </rv>
  <rv s="2">
    <fb>44875</fb>
    <v>5</v>
  </rv>
  <rv s="2">
    <fb>44876</fb>
    <v>5</v>
  </rv>
  <rv s="2">
    <fb>44879</fb>
    <v>5</v>
  </rv>
  <rv s="2">
    <fb>44880</fb>
    <v>5</v>
  </rv>
  <rv s="2">
    <fb>44881</fb>
    <v>5</v>
  </rv>
  <rv s="2">
    <fb>44882</fb>
    <v>5</v>
  </rv>
  <rv s="2">
    <fb>44883</fb>
    <v>5</v>
  </rv>
  <rv s="2">
    <fb>44886</fb>
    <v>5</v>
  </rv>
  <rv s="2">
    <fb>44887</fb>
    <v>5</v>
  </rv>
  <rv s="2">
    <fb>44888</fb>
    <v>5</v>
  </rv>
  <rv s="2">
    <fb>44889</fb>
    <v>5</v>
  </rv>
  <rv s="2">
    <fb>44890</fb>
    <v>5</v>
  </rv>
  <rv s="2">
    <fb>44893</fb>
    <v>5</v>
  </rv>
  <rv s="2">
    <fb>44894</fb>
    <v>5</v>
  </rv>
  <rv s="2">
    <fb>44895</fb>
    <v>5</v>
  </rv>
  <rv s="2">
    <fb>44896</fb>
    <v>5</v>
  </rv>
  <rv s="2">
    <fb>44897</fb>
    <v>5</v>
  </rv>
  <rv s="2">
    <fb>44900</fb>
    <v>5</v>
  </rv>
  <rv s="2">
    <fb>44901</fb>
    <v>5</v>
  </rv>
  <rv s="2">
    <fb>44902</fb>
    <v>5</v>
  </rv>
  <rv s="2">
    <fb>44903</fb>
    <v>5</v>
  </rv>
  <rv s="2">
    <fb>44904</fb>
    <v>5</v>
  </rv>
  <rv s="2">
    <fb>44907</fb>
    <v>5</v>
  </rv>
  <rv s="2">
    <fb>44908</fb>
    <v>5</v>
  </rv>
  <rv s="2">
    <fb>44909</fb>
    <v>5</v>
  </rv>
  <rv s="2">
    <fb>44910</fb>
    <v>5</v>
  </rv>
  <rv s="2">
    <fb>44911</fb>
    <v>5</v>
  </rv>
  <rv s="2">
    <fb>44914</fb>
    <v>5</v>
  </rv>
  <rv s="2">
    <fb>44915</fb>
    <v>5</v>
  </rv>
  <rv s="2">
    <fb>44916</fb>
    <v>5</v>
  </rv>
  <rv s="2">
    <fb>44917</fb>
    <v>5</v>
  </rv>
  <rv s="2">
    <fb>44918</fb>
    <v>5</v>
  </rv>
  <rv s="2">
    <fb>44921</fb>
    <v>5</v>
  </rv>
  <rv s="2">
    <fb>44922</fb>
    <v>5</v>
  </rv>
  <rv s="2">
    <fb>44923</fb>
    <v>5</v>
  </rv>
  <rv s="2">
    <fb>44924</fb>
    <v>5</v>
  </rv>
  <rv s="2">
    <fb>44925</fb>
    <v>5</v>
  </rv>
  <rv s="2">
    <fb>44928</fb>
    <v>5</v>
  </rv>
  <rv s="2">
    <fb>44929</fb>
    <v>5</v>
  </rv>
  <rv s="2">
    <fb>44930</fb>
    <v>5</v>
  </rv>
  <rv s="2">
    <fb>44931</fb>
    <v>5</v>
  </rv>
  <rv s="2">
    <fb>44932</fb>
    <v>5</v>
  </rv>
  <rv s="2">
    <fb>44935</fb>
    <v>5</v>
  </rv>
  <rv s="2">
    <fb>44936</fb>
    <v>5</v>
  </rv>
  <rv s="2">
    <fb>44937</fb>
    <v>5</v>
  </rv>
  <rv s="2">
    <fb>44938</fb>
    <v>5</v>
  </rv>
  <rv s="2">
    <fb>44939</fb>
    <v>5</v>
  </rv>
  <rv s="2">
    <fb>44942</fb>
    <v>5</v>
  </rv>
  <rv s="2">
    <fb>44943</fb>
    <v>5</v>
  </rv>
  <rv s="2">
    <fb>44944</fb>
    <v>5</v>
  </rv>
  <rv s="2">
    <fb>44945</fb>
    <v>5</v>
  </rv>
  <rv s="2">
    <fb>44946</fb>
    <v>5</v>
  </rv>
  <rv s="2">
    <fb>44949</fb>
    <v>5</v>
  </rv>
  <rv s="2">
    <fb>44950</fb>
    <v>5</v>
  </rv>
  <rv s="2">
    <fb>44951</fb>
    <v>5</v>
  </rv>
  <rv s="2">
    <fb>44953</fb>
    <v>5</v>
  </rv>
  <rv s="2">
    <fb>44956</fb>
    <v>5</v>
  </rv>
  <rv s="2">
    <fb>44957</fb>
    <v>5</v>
  </rv>
  <rv s="2">
    <fb>44958</fb>
    <v>5</v>
  </rv>
  <rv s="2">
    <fb>44959</fb>
    <v>5</v>
  </rv>
  <rv s="2">
    <fb>44960</fb>
    <v>5</v>
  </rv>
  <rv s="2">
    <fb>44963</fb>
    <v>5</v>
  </rv>
  <rv s="2">
    <fb>44964</fb>
    <v>5</v>
  </rv>
  <rv s="2">
    <fb>44965</fb>
    <v>5</v>
  </rv>
  <rv s="2">
    <fb>44966</fb>
    <v>5</v>
  </rv>
  <rv s="2">
    <fb>44967</fb>
    <v>5</v>
  </rv>
  <rv s="2">
    <fb>44970</fb>
    <v>5</v>
  </rv>
  <rv s="2">
    <fb>44971</fb>
    <v>5</v>
  </rv>
  <rv s="2">
    <fb>44972</fb>
    <v>5</v>
  </rv>
  <rv s="2">
    <fb>44973</fb>
    <v>5</v>
  </rv>
  <rv s="2">
    <fb>44974</fb>
    <v>5</v>
  </rv>
  <rv s="2">
    <fb>44977</fb>
    <v>5</v>
  </rv>
  <rv s="2">
    <fb>44978</fb>
    <v>5</v>
  </rv>
  <rv s="2">
    <fb>44979</fb>
    <v>5</v>
  </rv>
  <rv s="2">
    <fb>44980</fb>
    <v>5</v>
  </rv>
  <rv s="2">
    <fb>44981</fb>
    <v>5</v>
  </rv>
  <rv s="2">
    <fb>44984</fb>
    <v>5</v>
  </rv>
  <rv s="2">
    <fb>44985</fb>
    <v>5</v>
  </rv>
  <rv s="2">
    <fb>44986</fb>
    <v>5</v>
  </rv>
  <rv s="2">
    <fb>44987</fb>
    <v>5</v>
  </rv>
  <rv s="2">
    <fb>44988</fb>
    <v>5</v>
  </rv>
  <rv s="2">
    <fb>44991</fb>
    <v>5</v>
  </rv>
  <rv s="2">
    <fb>44993</fb>
    <v>5</v>
  </rv>
  <rv s="2">
    <fb>44994</fb>
    <v>5</v>
  </rv>
  <rv s="2">
    <fb>44995</fb>
    <v>5</v>
  </rv>
  <rv s="2">
    <fb>44998</fb>
    <v>5</v>
  </rv>
  <rv s="2">
    <fb>44999</fb>
    <v>5</v>
  </rv>
  <rv s="2">
    <fb>45000</fb>
    <v>5</v>
  </rv>
  <rv s="2">
    <fb>45001</fb>
    <v>5</v>
  </rv>
  <rv s="2">
    <fb>45002</fb>
    <v>5</v>
  </rv>
  <rv s="2">
    <fb>45005</fb>
    <v>5</v>
  </rv>
  <rv s="2">
    <fb>45006</fb>
    <v>5</v>
  </rv>
  <rv s="2">
    <fb>45007</fb>
    <v>5</v>
  </rv>
  <rv s="2">
    <fb>45008</fb>
    <v>5</v>
  </rv>
  <rv s="2">
    <fb>45009</fb>
    <v>5</v>
  </rv>
  <rv s="2">
    <fb>45012</fb>
    <v>5</v>
  </rv>
  <rv s="2">
    <fb>45013</fb>
    <v>5</v>
  </rv>
  <rv s="2">
    <fb>45014</fb>
    <v>5</v>
  </rv>
  <rv s="2">
    <fb>45016</fb>
    <v>5</v>
  </rv>
  <rv s="2">
    <fb>45019</fb>
    <v>5</v>
  </rv>
  <rv s="2">
    <fb>45021</fb>
    <v>5</v>
  </rv>
  <rv s="2">
    <fb>45022</fb>
    <v>5</v>
  </rv>
  <rv s="2">
    <fb>45026</fb>
    <v>5</v>
  </rv>
  <rv s="2">
    <fb>45027</fb>
    <v>5</v>
  </rv>
  <rv s="2">
    <fb>45028</fb>
    <v>5</v>
  </rv>
  <rv s="2">
    <fb>45029</fb>
    <v>5</v>
  </rv>
  <rv s="2">
    <fb>45033</fb>
    <v>5</v>
  </rv>
  <rv s="2">
    <fb>45034</fb>
    <v>5</v>
  </rv>
  <rv s="2">
    <fb>45035</fb>
    <v>5</v>
  </rv>
  <rv s="2">
    <fb>45036</fb>
    <v>5</v>
  </rv>
  <rv s="2">
    <fb>45037</fb>
    <v>5</v>
  </rv>
  <rv s="2">
    <fb>45040</fb>
    <v>5</v>
  </rv>
  <rv s="2">
    <fb>45041</fb>
    <v>5</v>
  </rv>
  <rv s="2">
    <fb>45042</fb>
    <v>5</v>
  </rv>
  <rv s="2">
    <fb>45043</fb>
    <v>5</v>
  </rv>
  <rv s="2">
    <fb>45044</fb>
    <v>5</v>
  </rv>
  <rv s="2">
    <fb>45048</fb>
    <v>5</v>
  </rv>
  <rv s="2">
    <fb>45049</fb>
    <v>5</v>
  </rv>
  <rv s="2">
    <fb>45050</fb>
    <v>5</v>
  </rv>
  <rv s="2">
    <fb>45051</fb>
    <v>5</v>
  </rv>
  <rv s="2">
    <fb>45054</fb>
    <v>5</v>
  </rv>
  <rv s="2">
    <fb>45055</fb>
    <v>5</v>
  </rv>
  <rv s="2">
    <fb>45056</fb>
    <v>5</v>
  </rv>
  <rv s="2">
    <fb>45057</fb>
    <v>5</v>
  </rv>
  <rv s="2">
    <fb>45058</fb>
    <v>5</v>
  </rv>
  <rv s="2">
    <fb>45061</fb>
    <v>5</v>
  </rv>
  <rv s="2">
    <fb>45062</fb>
    <v>5</v>
  </rv>
  <rv s="2">
    <fb>45063</fb>
    <v>5</v>
  </rv>
  <rv s="2">
    <fb>45064</fb>
    <v>5</v>
  </rv>
  <rv s="2">
    <fb>45065</fb>
    <v>5</v>
  </rv>
  <rv s="2">
    <fb>45068</fb>
    <v>5</v>
  </rv>
  <rv s="2">
    <fb>45069</fb>
    <v>5</v>
  </rv>
  <rv s="2">
    <fb>45070</fb>
    <v>5</v>
  </rv>
  <rv s="2">
    <fb>45071</fb>
    <v>5</v>
  </rv>
  <rv s="2">
    <fb>45072</fb>
    <v>5</v>
  </rv>
  <rv s="2">
    <fb>45075</fb>
    <v>5</v>
  </rv>
  <rv s="2">
    <fb>45076</fb>
    <v>5</v>
  </rv>
  <rv s="2">
    <fb>45077</fb>
    <v>5</v>
  </rv>
  <rv s="2">
    <fb>45078</fb>
    <v>5</v>
  </rv>
  <rv s="2">
    <fb>45079</fb>
    <v>5</v>
  </rv>
  <rv s="2">
    <fb>45082</fb>
    <v>5</v>
  </rv>
  <rv s="2">
    <fb>45083</fb>
    <v>5</v>
  </rv>
  <rv s="2">
    <fb>45084</fb>
    <v>5</v>
  </rv>
  <rv s="2">
    <fb>45085</fb>
    <v>5</v>
  </rv>
  <rv s="2">
    <fb>45086</fb>
    <v>5</v>
  </rv>
  <rv s="2">
    <fb>45089</fb>
    <v>5</v>
  </rv>
  <rv s="2">
    <fb>45090</fb>
    <v>5</v>
  </rv>
  <rv s="2">
    <fb>45091</fb>
    <v>5</v>
  </rv>
  <rv s="2">
    <fb>45092</fb>
    <v>5</v>
  </rv>
  <rv s="2">
    <fb>45093</fb>
    <v>5</v>
  </rv>
  <rv s="2">
    <fb>45096</fb>
    <v>5</v>
  </rv>
  <rv s="2">
    <fb>45097</fb>
    <v>5</v>
  </rv>
  <rv s="2">
    <fb>45098</fb>
    <v>5</v>
  </rv>
  <rv s="2">
    <fb>45099</fb>
    <v>5</v>
  </rv>
  <rv s="3">
    <v>https://www.bing.com/financeapi/forcetrigger?t=ahgqcw&amp;q=XNSE%3aABB&amp;form=skydnc</v>
    <v>Learn more on Bing</v>
  </rv>
  <rv s="4">
    <v>en-IN</v>
    <v>ahgqcw</v>
    <v>268435456</v>
    <v>1</v>
    <v>Powered by Refinitiv</v>
    <v>6</v>
    <v>ABB India Limited (XNSE:ABB)</v>
    <v>7</v>
    <v>8</v>
    <v>Finance</v>
    <v>9</v>
    <v>4443.8999999999996</v>
    <v>2120</v>
    <v>1.0125999999999999</v>
    <v>-28.45</v>
    <v>-6.6620000000000004E-3</v>
    <v>INR</v>
    <v>ABB India Limited is an India-based global technology company. The Company’s segments include Robotics and Discrete Automation, Motion, Electrification Products and Process Automation. Its Robotics and Discrete Automation segment provides value-added solutions in robotics, machine and factory automation. Its Motion segment provides products, solutions and related services that increase industrial productivity and energy efficiency. Its Electrification Products segment provides technology across the full electrical value chain from substation to the point of consumption. Its Process Automation segment provides products, systems and services designed to optimize the productivity of industrial processes. Its solutions include engineering, control systems, measurement products, life cycle services, outsourced maintenance and industry specific products. It serves various industries, such as oil and gas, chemicals and pharmaceuticals, metals and minerals, marine and turbocharging.</v>
    <v>3139</v>
    <v>National Stock Exchange of India</v>
    <v>XNSE</v>
    <v>XNSE</v>
    <v>Plot No. 5 &amp; 6, 2nd Stage, Peenya Industrial Area IV,, BANGALORE, KARNATAKA, 560058 IN</v>
    <v>4303.8</v>
    <v>Machinery, Equipment &amp; Components</v>
    <v>Stock</v>
    <v>45100.194097222222</v>
    <v>250</v>
    <v>4230.1000000000004</v>
    <v>925287300000</v>
    <v>ABB India Limited</v>
    <v>ABB India Limited</v>
    <v>4279.8999999999996</v>
    <v>99.87</v>
    <v>4270.5</v>
    <v>4242.05</v>
    <v>211908400</v>
    <v>ABB</v>
    <v>ABB India Limited (XNSE:ABB)</v>
    <v>55670</v>
    <v>228760</v>
    <v>1949</v>
  </rv>
  <rv s="1">
    <v>251</v>
  </rv>
  <rv s="2">
    <fb>2290.75</fb>
    <v>10</v>
  </rv>
  <rv s="2">
    <fb>2290.35</fb>
    <v>10</v>
  </rv>
  <rv s="2">
    <fb>2292.5500000000002</fb>
    <v>10</v>
  </rv>
  <rv s="2">
    <fb>2284.8000000000002</fb>
    <v>10</v>
  </rv>
  <rv s="2">
    <fb>2310.1999999999998</fb>
    <v>10</v>
  </rv>
  <rv s="2">
    <fb>2300.9</fb>
    <v>10</v>
  </rv>
  <rv s="2">
    <fb>2275.4499999999998</fb>
    <v>10</v>
  </rv>
  <rv s="2">
    <fb>2361.5</fb>
    <v>10</v>
  </rv>
  <rv s="2">
    <fb>2364.75</fb>
    <v>10</v>
  </rv>
  <rv s="2">
    <fb>2517</fb>
    <v>10</v>
  </rv>
  <rv s="2">
    <fb>2562.4499999999998</fb>
    <v>10</v>
  </rv>
  <rv s="2">
    <fb>2589.1</fb>
    <v>10</v>
  </rv>
  <rv s="2">
    <fb>2610.85</fb>
    <v>10</v>
  </rv>
  <rv s="2">
    <fb>2540.8000000000002</fb>
    <v>10</v>
  </rv>
  <rv s="2">
    <fb>2544.6999999999998</fb>
    <v>10</v>
  </rv>
  <rv s="2">
    <fb>2548.35</fb>
    <v>10</v>
  </rv>
  <rv s="2">
    <fb>2559.4499999999998</fb>
    <v>10</v>
  </rv>
  <rv s="2">
    <fb>2586.5500000000002</fb>
    <v>10</v>
  </rv>
  <rv s="2">
    <fb>2590.9</fb>
    <v>10</v>
  </rv>
  <rv s="2">
    <fb>2598.5500000000002</fb>
    <v>10</v>
  </rv>
  <rv s="2">
    <fb>2772.75</fb>
    <v>10</v>
  </rv>
  <rv s="2">
    <fb>2696.4</fb>
    <v>10</v>
  </rv>
  <rv s="2">
    <fb>2662.9</fb>
    <v>10</v>
  </rv>
  <rv s="2">
    <fb>2713.4</fb>
    <v>10</v>
  </rv>
  <rv s="2">
    <fb>2728.15</fb>
    <v>10</v>
  </rv>
  <rv s="2">
    <fb>2722.25</fb>
    <v>10</v>
  </rv>
  <rv s="2">
    <fb>2736.15</fb>
    <v>10</v>
  </rv>
  <rv s="2">
    <fb>2745.65</fb>
    <v>10</v>
  </rv>
  <rv s="2">
    <fb>2759.55</fb>
    <v>10</v>
  </rv>
  <rv s="2">
    <fb>2671.6</fb>
    <v>10</v>
  </rv>
  <rv s="2">
    <fb>2668.35</fb>
    <v>10</v>
  </rv>
  <rv s="2">
    <fb>2688.2</fb>
    <v>10</v>
  </rv>
  <rv s="2">
    <fb>2721.1</fb>
    <v>10</v>
  </rv>
  <rv s="2">
    <fb>2770.4</fb>
    <v>10</v>
  </rv>
  <rv s="2">
    <fb>2798.3</fb>
    <v>10</v>
  </rv>
  <rv s="2">
    <fb>2797.25</fb>
    <v>10</v>
  </rv>
  <rv s="2">
    <fb>2898</fb>
    <v>10</v>
  </rv>
  <rv s="2">
    <fb>2891.75</fb>
    <v>10</v>
  </rv>
  <rv s="2">
    <fb>2890.5</fb>
    <v>10</v>
  </rv>
  <rv s="2">
    <fb>2888.35</fb>
    <v>10</v>
  </rv>
  <rv s="2">
    <fb>2869.55</fb>
    <v>10</v>
  </rv>
  <rv s="2">
    <fb>2868.1</fb>
    <v>10</v>
  </rv>
  <rv s="2">
    <fb>3060.45</fb>
    <v>10</v>
  </rv>
  <rv s="2">
    <fb>3144.4</fb>
    <v>10</v>
  </rv>
  <rv s="2">
    <fb>3170.65</fb>
    <v>10</v>
  </rv>
  <rv s="2">
    <fb>3196.45</fb>
    <v>10</v>
  </rv>
  <rv s="2">
    <fb>3262.75</fb>
    <v>10</v>
  </rv>
  <rv s="2">
    <fb>3403.7</fb>
    <v>10</v>
  </rv>
  <rv s="2">
    <fb>3368.9</fb>
    <v>10</v>
  </rv>
  <rv s="2">
    <fb>3289.2</fb>
    <v>10</v>
  </rv>
  <rv s="2">
    <fb>3362.05</fb>
    <v>10</v>
  </rv>
  <rv s="2">
    <fb>3310.3</fb>
    <v>10</v>
  </rv>
  <rv s="2">
    <fb>3318.25</fb>
    <v>10</v>
  </rv>
  <rv s="2">
    <fb>3314.65</fb>
    <v>10</v>
  </rv>
  <rv s="2">
    <fb>3329.6</fb>
    <v>10</v>
  </rv>
  <rv s="2">
    <fb>3358.85</fb>
    <v>10</v>
  </rv>
  <rv s="2">
    <fb>3288.65</fb>
    <v>10</v>
  </rv>
  <rv s="2">
    <fb>3296.95</fb>
    <v>10</v>
  </rv>
  <rv s="2">
    <fb>3180.15</fb>
    <v>10</v>
  </rv>
  <rv s="2">
    <fb>3157.8</fb>
    <v>10</v>
  </rv>
  <rv s="2">
    <fb>3150.55</fb>
    <v>10</v>
  </rv>
  <rv s="2">
    <fb>3129.65</fb>
    <v>10</v>
  </rv>
  <rv s="2">
    <fb>3144.1</fb>
    <v>10</v>
  </rv>
  <rv s="2">
    <fb>3124.65</fb>
    <v>10</v>
  </rv>
  <rv s="2">
    <fb>3002.2</fb>
    <v>10</v>
  </rv>
  <rv s="2">
    <fb>3032.75</fb>
    <v>10</v>
  </rv>
  <rv s="2">
    <fb>3009.7</fb>
    <v>10</v>
  </rv>
  <rv s="2">
    <fb>2996.2</fb>
    <v>10</v>
  </rv>
  <rv s="2">
    <fb>3088.4</fb>
    <v>10</v>
  </rv>
  <rv s="2">
    <fb>2994.8</fb>
    <v>10</v>
  </rv>
  <rv s="2">
    <fb>3080.8</fb>
    <v>10</v>
  </rv>
  <rv s="2">
    <fb>3188.85</fb>
    <v>10</v>
  </rv>
  <rv s="2">
    <fb>3296.1</fb>
    <v>10</v>
  </rv>
  <rv s="2">
    <fb>3230.55</fb>
    <v>10</v>
  </rv>
  <rv s="2">
    <fb>3197.05</fb>
    <v>10</v>
  </rv>
  <rv s="2">
    <fb>3247.5</fb>
    <v>10</v>
  </rv>
  <rv s="2">
    <fb>3265.85</fb>
    <v>10</v>
  </rv>
  <rv s="2">
    <fb>3194.3</fb>
    <v>10</v>
  </rv>
  <rv s="2">
    <fb>3196.55</fb>
    <v>10</v>
  </rv>
  <rv s="2">
    <fb>3211.6</fb>
    <v>10</v>
  </rv>
  <rv s="2">
    <fb>3238.3</fb>
    <v>10</v>
  </rv>
  <rv s="2">
    <fb>3132.8</fb>
    <v>10</v>
  </rv>
  <rv s="2">
    <fb>3041.25</fb>
    <v>10</v>
  </rv>
  <rv s="2">
    <fb>3052.8</fb>
    <v>10</v>
  </rv>
  <rv s="2">
    <fb>3055.25</fb>
    <v>10</v>
  </rv>
  <rv s="2">
    <fb>3039.4</fb>
    <v>10</v>
  </rv>
  <rv s="2">
    <fb>2962.1</fb>
    <v>10</v>
  </rv>
  <rv s="2">
    <fb>3049.75</fb>
    <v>10</v>
  </rv>
  <rv s="2">
    <fb>3152.15</fb>
    <v>10</v>
  </rv>
  <rv s="2">
    <fb>3170.85</fb>
    <v>10</v>
  </rv>
  <rv s="2">
    <fb>3225.25</fb>
    <v>10</v>
  </rv>
  <rv s="2">
    <fb>3219.9</fb>
    <v>10</v>
  </rv>
  <rv s="2">
    <fb>3262.35</fb>
    <v>10</v>
  </rv>
  <rv s="2">
    <fb>3103.9</fb>
    <v>10</v>
  </rv>
  <rv s="2">
    <fb>3166.9</fb>
    <v>10</v>
  </rv>
  <rv s="2">
    <fb>3155.85</fb>
    <v>10</v>
  </rv>
  <rv s="2">
    <fb>3025.2</fb>
    <v>10</v>
  </rv>
  <rv s="2">
    <fb>3027.85</fb>
    <v>10</v>
  </rv>
  <rv s="2">
    <fb>3035.65</fb>
    <v>10</v>
  </rv>
  <rv s="2">
    <fb>3122.2</fb>
    <v>10</v>
  </rv>
  <rv s="2">
    <fb>3092.65</fb>
    <v>10</v>
  </rv>
  <rv s="2">
    <fb>3082.95</fb>
    <v>10</v>
  </rv>
  <rv s="2">
    <fb>3059.45</fb>
    <v>10</v>
  </rv>
  <rv s="2">
    <fb>3099.3</fb>
    <v>10</v>
  </rv>
  <rv s="2">
    <fb>3124.95</fb>
    <v>10</v>
  </rv>
  <rv s="2">
    <fb>3090.85</fb>
    <v>10</v>
  </rv>
  <rv s="2">
    <fb>3103.35</fb>
    <v>10</v>
  </rv>
  <rv s="2">
    <fb>3015.2</fb>
    <v>10</v>
  </rv>
  <rv s="2">
    <fb>3000.7</fb>
    <v>10</v>
  </rv>
  <rv s="2">
    <fb>2993.85</fb>
    <v>10</v>
  </rv>
  <rv s="2">
    <fb>2978.1</fb>
    <v>10</v>
  </rv>
  <rv s="2">
    <fb>2975.6</fb>
    <v>10</v>
  </rv>
  <rv s="2">
    <fb>2944.1</fb>
    <v>10</v>
  </rv>
  <rv s="2">
    <fb>2969.05</fb>
    <v>10</v>
  </rv>
  <rv s="2">
    <fb>2988.35</fb>
    <v>10</v>
  </rv>
  <rv s="2">
    <fb>2976.65</fb>
    <v>10</v>
  </rv>
  <rv s="2">
    <fb>2991.4</fb>
    <v>10</v>
  </rv>
  <rv s="2">
    <fb>2993.15</fb>
    <v>10</v>
  </rv>
  <rv s="2">
    <fb>3006.7</fb>
    <v>10</v>
  </rv>
  <rv s="2">
    <fb>2930.2</fb>
    <v>10</v>
  </rv>
  <rv s="2">
    <fb>2838.5</fb>
    <v>10</v>
  </rv>
  <rv s="2">
    <fb>2897.25</fb>
    <v>10</v>
  </rv>
  <rv s="2">
    <fb>2924.85</fb>
    <v>10</v>
  </rv>
  <rv s="2">
    <fb>2841</fb>
    <v>10</v>
  </rv>
  <rv s="2">
    <fb>2802.8</fb>
    <v>10</v>
  </rv>
  <rv s="2">
    <fb>2680.75</fb>
    <v>10</v>
  </rv>
  <rv s="2">
    <fb>2724.65</fb>
    <v>10</v>
  </rv>
  <rv s="2">
    <fb>2742.65</fb>
    <v>10</v>
  </rv>
  <rv s="2">
    <fb>2724.35</fb>
    <v>10</v>
  </rv>
  <rv s="2">
    <fb>2684.2</fb>
    <v>10</v>
  </rv>
  <rv s="2">
    <fb>2683</fb>
    <v>10</v>
  </rv>
  <rv s="2">
    <fb>2679.95</fb>
    <v>10</v>
  </rv>
  <rv s="2">
    <fb>2689.4</fb>
    <v>10</v>
  </rv>
  <rv s="2">
    <fb>2705.2</fb>
    <v>10</v>
  </rv>
  <rv s="2">
    <fb>2806</fb>
    <v>10</v>
  </rv>
  <rv s="2">
    <fb>2843.6</fb>
    <v>10</v>
  </rv>
  <rv s="2">
    <fb>2862.1</fb>
    <v>10</v>
  </rv>
  <rv s="2">
    <fb>2841.65</fb>
    <v>10</v>
  </rv>
  <rv s="2">
    <fb>2900.2</fb>
    <v>10</v>
  </rv>
  <rv s="2">
    <fb>2914.15</fb>
    <v>10</v>
  </rv>
  <rv s="2">
    <fb>2899.95</fb>
    <v>10</v>
  </rv>
  <rv s="2">
    <fb>2872.4</fb>
    <v>10</v>
  </rv>
  <rv s="2">
    <fb>2874.95</fb>
    <v>10</v>
  </rv>
  <rv s="2">
    <fb>2920.35</fb>
    <v>10</v>
  </rv>
  <rv s="2">
    <fb>2918.65</fb>
    <v>10</v>
  </rv>
  <rv s="2">
    <fb>2933.75</fb>
    <v>10</v>
  </rv>
  <rv s="2">
    <fb>2947.7</fb>
    <v>10</v>
  </rv>
  <rv s="2">
    <fb>2945.05</fb>
    <v>10</v>
  </rv>
  <rv s="2">
    <fb>2873.35</fb>
    <v>10</v>
  </rv>
  <rv s="2">
    <fb>2803.2</fb>
    <v>10</v>
  </rv>
  <rv s="2">
    <fb>2814.85</fb>
    <v>10</v>
  </rv>
  <rv s="2">
    <fb>2839.5</fb>
    <v>10</v>
  </rv>
  <rv s="2">
    <fb>2789.1</fb>
    <v>10</v>
  </rv>
  <rv s="2">
    <fb>2831.6</fb>
    <v>10</v>
  </rv>
  <rv s="2">
    <fb>2805.85</fb>
    <v>10</v>
  </rv>
  <rv s="2">
    <fb>2932</fb>
    <v>10</v>
  </rv>
  <rv s="2">
    <fb>3023.5</fb>
    <v>10</v>
  </rv>
  <rv s="2">
    <fb>3079.45</fb>
    <v>10</v>
  </rv>
  <rv s="2">
    <fb>3128.05</fb>
    <v>10</v>
  </rv>
  <rv s="2">
    <fb>3166.3</fb>
    <v>10</v>
  </rv>
  <rv s="2">
    <fb>3079.65</fb>
    <v>10</v>
  </rv>
  <rv s="2">
    <fb>3077.3</fb>
    <v>10</v>
  </rv>
  <rv s="2">
    <fb>3149.6</fb>
    <v>10</v>
  </rv>
  <rv s="2">
    <fb>3188.4</fb>
    <v>10</v>
  </rv>
  <rv s="2">
    <fb>3136.15</fb>
    <v>10</v>
  </rv>
  <rv s="2">
    <fb>3174.15</fb>
    <v>10</v>
  </rv>
  <rv s="2">
    <fb>3169.4</fb>
    <v>10</v>
  </rv>
  <rv s="2">
    <fb>3172.8</fb>
    <v>10</v>
  </rv>
  <rv s="2">
    <fb>3138.35</fb>
    <v>10</v>
  </rv>
  <rv s="2">
    <fb>3142</fb>
    <v>10</v>
  </rv>
  <rv s="2">
    <fb>3108.05</fb>
    <v>10</v>
  </rv>
  <rv s="2">
    <fb>3217.35</fb>
    <v>10</v>
  </rv>
  <rv s="2">
    <fb>3311.45</fb>
    <v>10</v>
  </rv>
  <rv s="2">
    <fb>3323.4</fb>
    <v>10</v>
  </rv>
  <rv s="2">
    <fb>3328.75</fb>
    <v>10</v>
  </rv>
  <rv s="2">
    <fb>3318.45</fb>
    <v>10</v>
  </rv>
  <rv s="2">
    <fb>3379.85</fb>
    <v>10</v>
  </rv>
  <rv s="2">
    <fb>3388</fb>
    <v>10</v>
  </rv>
  <rv s="2">
    <fb>3377.4</fb>
    <v>10</v>
  </rv>
  <rv s="2">
    <fb>3274.45</fb>
    <v>10</v>
  </rv>
  <rv s="2">
    <fb>3311.15</fb>
    <v>10</v>
  </rv>
  <rv s="2">
    <fb>3302.25</fb>
    <v>10</v>
  </rv>
  <rv s="2">
    <fb>3327.95</fb>
    <v>10</v>
  </rv>
  <rv s="2">
    <fb>3312.55</fb>
    <v>10</v>
  </rv>
  <rv s="2">
    <fb>3298.85</fb>
    <v>10</v>
  </rv>
  <rv s="2">
    <fb>3412.35</fb>
    <v>10</v>
  </rv>
  <rv s="2">
    <fb>3309.9</fb>
    <v>10</v>
  </rv>
  <rv s="2">
    <fb>3360.45</fb>
    <v>10</v>
  </rv>
  <rv s="2">
    <fb>3346.7</fb>
    <v>10</v>
  </rv>
  <rv s="2">
    <fb>3324.6</fb>
    <v>10</v>
  </rv>
  <rv s="2">
    <fb>3338.65</fb>
    <v>10</v>
  </rv>
  <rv s="2">
    <fb>3391.45</fb>
    <v>10</v>
  </rv>
  <rv s="2">
    <fb>3365.15</fb>
    <v>10</v>
  </rv>
  <rv s="2">
    <fb>3373.75</fb>
    <v>10</v>
  </rv>
  <rv s="2">
    <fb>3374.15</fb>
    <v>10</v>
  </rv>
  <rv s="2">
    <fb>3397.1</fb>
    <v>10</v>
  </rv>
  <rv s="2">
    <fb>3397.65</fb>
    <v>10</v>
  </rv>
  <rv s="2">
    <fb>3277.45</fb>
    <v>10</v>
  </rv>
  <rv s="2">
    <fb>3203.55</fb>
    <v>10</v>
  </rv>
  <rv s="2">
    <fb>3230</fb>
    <v>10</v>
  </rv>
  <rv s="2">
    <fb>3229</fb>
    <v>10</v>
  </rv>
  <rv s="2">
    <fb>3207.7</fb>
    <v>10</v>
  </rv>
  <rv s="2">
    <fb>3201.05</fb>
    <v>10</v>
  </rv>
  <rv s="2">
    <fb>3184.3</fb>
    <v>10</v>
  </rv>
  <rv s="2">
    <fb>3153.3</fb>
    <v>10</v>
  </rv>
  <rv s="2">
    <fb>3217.4</fb>
    <v>10</v>
  </rv>
  <rv s="2">
    <fb>3336.1</fb>
    <v>10</v>
  </rv>
  <rv s="2">
    <fb>3400.15</fb>
    <v>10</v>
  </rv>
  <rv s="2">
    <fb>3411.6</fb>
    <v>10</v>
  </rv>
  <rv s="2">
    <fb>3417.95</fb>
    <v>10</v>
  </rv>
  <rv s="2">
    <fb>3442.15</fb>
    <v>10</v>
  </rv>
  <rv s="2">
    <fb>3453.6</fb>
    <v>10</v>
  </rv>
  <rv s="2">
    <fb>3645.35</fb>
    <v>10</v>
  </rv>
  <rv s="2">
    <fb>3718.85</fb>
    <v>10</v>
  </rv>
  <rv s="2">
    <fb>3802.6</fb>
    <v>10</v>
  </rv>
  <rv s="2">
    <fb>3807.05</fb>
    <v>10</v>
  </rv>
  <rv s="2">
    <fb>3815.45</fb>
    <v>10</v>
  </rv>
  <rv s="2">
    <fb>3860.45</fb>
    <v>10</v>
  </rv>
  <rv s="2">
    <fb>3942.55</fb>
    <v>10</v>
  </rv>
  <rv s="2">
    <fb>3855.45</fb>
    <v>10</v>
  </rv>
  <rv s="2">
    <fb>3910.5</fb>
    <v>10</v>
  </rv>
  <rv s="2">
    <fb>3918.9</fb>
    <v>10</v>
  </rv>
  <rv s="2">
    <fb>3897.5</fb>
    <v>10</v>
  </rv>
  <rv s="2">
    <fb>3894.75</fb>
    <v>10</v>
  </rv>
  <rv s="2">
    <fb>3893.2</fb>
    <v>10</v>
  </rv>
  <rv s="2">
    <fb>3912.75</fb>
    <v>10</v>
  </rv>
  <rv s="2">
    <fb>3891.65</fb>
    <v>10</v>
  </rv>
  <rv s="2">
    <fb>3941.95</fb>
    <v>10</v>
  </rv>
  <rv s="2">
    <fb>4004.75</fb>
    <v>10</v>
  </rv>
  <rv s="2">
    <fb>4031.15</fb>
    <v>10</v>
  </rv>
  <rv s="2">
    <fb>4029.6</fb>
    <v>10</v>
  </rv>
  <rv s="2">
    <fb>4125.8999999999996</fb>
    <v>10</v>
  </rv>
  <rv s="2">
    <fb>3944.65</fb>
    <v>10</v>
  </rv>
  <rv s="2">
    <fb>4021.55</fb>
    <v>10</v>
  </rv>
  <rv s="2">
    <fb>4033</fb>
    <v>10</v>
  </rv>
  <rv s="2">
    <fb>4057.65</fb>
    <v>10</v>
  </rv>
  <rv s="2">
    <fb>4151.1000000000004</fb>
    <v>10</v>
  </rv>
  <rv s="2">
    <fb>4112.3</fb>
    <v>10</v>
  </rv>
  <rv s="2">
    <fb>4151.2</fb>
    <v>10</v>
  </rv>
  <rv s="2">
    <fb>4151.45</fb>
    <v>10</v>
  </rv>
  <rv s="2">
    <fb>4319.8</fb>
    <v>10</v>
  </rv>
  <rv s="2">
    <fb>4349.8500000000004</fb>
    <v>10</v>
  </rv>
  <rv s="2">
    <fb>4313.6499999999996</fb>
    <v>10</v>
  </rv>
  <rv s="2">
    <fb>4336.8999999999996</fb>
    <v>10</v>
  </rv>
  <rv s="2">
    <fb>4327.6499999999996</fb>
    <v>10</v>
  </rv>
  <rv s="2">
    <fb>4376</fb>
    <v>10</v>
  </rv>
  <rv s="2">
    <fb>4366.45</fb>
    <v>10</v>
  </rv>
  <rv s="2">
    <fb>4270.5</fb>
    <v>10</v>
  </rv>
  <rv s="3">
    <v>https://www.bing.com/financeapi/forcetrigger?t=ahhfa2&amp;q=XNSE%3aCONCOR&amp;form=skydnc</v>
    <v>Learn more on Bing</v>
  </rv>
  <rv s="4">
    <v>en-IN</v>
    <v>ahhfa2</v>
    <v>268435456</v>
    <v>1</v>
    <v>Powered by Refinitiv</v>
    <v>6</v>
    <v>CONTAINER CORPORATION OF INDIA LIMITED (XNSE:CONCOR)</v>
    <v>7</v>
    <v>8</v>
    <v>Finance</v>
    <v>9</v>
    <v>828.75</v>
    <v>555</v>
    <v>1.2388999999999999</v>
    <v>-1.45</v>
    <v>-2.2570000000000003E-3</v>
    <v>INR</v>
    <v>Container Corporation of India Limited (CONCOR) is a holding company. The Company is engaged in transportation of containers (rail and road), and handling of containers. The Company is also engaged in the operation of logistics facilities, including dry ports, container freight stations and private freight terminals. It operates through two divisions: EXIM and Domestic. Both EXIM and Domestic divisions of the Company are engaged in handling, transportation and warehousing activities. Its international services include air cargo movements, bonded warehousing, reefer and cold chain services, and factory stuffing/destuffing. Its domestic services include volume discount scheme, door delivery and pickups, and terminal handling charges. Its E-Filing software is a Web-based application for EXIM locations being operational at Terminal/Inland Container Depot of CONCOR. Through its software, any importer/exporter/shipping agent can file his documents, including billing and take printouts.</v>
    <v>1359</v>
    <v>National Stock Exchange of India</v>
    <v>XNSE</v>
    <v>XNSE</v>
    <v>NSIC New MDBP Building, 3rd Floor,, Okhla Industrial Estate,, NEW DELHI, DELHI, 110020 IN</v>
    <v>643.95000000000005</v>
    <v>Freight &amp; Logistics Services</v>
    <v>Stock</v>
    <v>45100.194097222222</v>
    <v>501</v>
    <v>633.04999999999995</v>
    <v>397960600000</v>
    <v>CONTAINER CORPORATION OF INDIA LIMITED</v>
    <v>CONTAINER CORPORATION OF INDIA LIMITED</v>
    <v>642.45000000000005</v>
    <v>33.340000000000003</v>
    <v>642.45000000000005</v>
    <v>641</v>
    <v>609294400</v>
    <v>CONCOR</v>
    <v>CONTAINER CORPORATION OF INDIA LIMITED (XNSE:CONCOR)</v>
    <v>122378</v>
    <v>1710300</v>
    <v>1988</v>
  </rv>
  <rv s="1">
    <v>502</v>
  </rv>
  <rv s="2">
    <fb>620.35</fb>
    <v>10</v>
  </rv>
  <rv s="2">
    <fb>622.1</fb>
    <v>10</v>
  </rv>
  <rv s="2">
    <fb>624.6</fb>
    <v>10</v>
  </rv>
  <rv s="2">
    <fb>620.25</fb>
    <v>10</v>
  </rv>
  <rv s="2">
    <fb>617.95000000000005</fb>
    <v>10</v>
  </rv>
  <rv s="2">
    <fb>594.29999999999995</fb>
    <v>10</v>
  </rv>
  <rv s="2">
    <fb>603.29999999999995</fb>
    <v>10</v>
  </rv>
  <rv s="2">
    <fb>617.45000000000005</fb>
    <v>10</v>
  </rv>
  <rv s="2">
    <fb>624.29999999999995</fb>
    <v>10</v>
  </rv>
  <rv s="2">
    <fb>650.45000000000005</fb>
    <v>10</v>
  </rv>
  <rv s="2">
    <fb>653.04999999999995</fb>
    <v>10</v>
  </rv>
  <rv s="2">
    <fb>656.6</fb>
    <v>10</v>
  </rv>
  <rv s="2">
    <fb>660.45</fb>
    <v>10</v>
  </rv>
  <rv s="2">
    <fb>673.8</fb>
    <v>10</v>
  </rv>
  <rv s="2">
    <fb>673.35</fb>
    <v>10</v>
  </rv>
  <rv s="2">
    <fb>674.25</fb>
    <v>10</v>
  </rv>
  <rv s="2">
    <fb>684.1</fb>
    <v>10</v>
  </rv>
  <rv s="2">
    <fb>671</fb>
    <v>10</v>
  </rv>
  <rv s="2">
    <fb>673.65</fb>
    <v>10</v>
  </rv>
  <rv s="2">
    <fb>673.55</fb>
    <v>10</v>
  </rv>
  <rv s="2">
    <fb>681.25</fb>
    <v>10</v>
  </rv>
  <rv s="2">
    <fb>675.2</fb>
    <v>10</v>
  </rv>
  <rv s="2">
    <fb>671.5</fb>
    <v>10</v>
  </rv>
  <rv s="2">
    <fb>666.4</fb>
    <v>10</v>
  </rv>
  <rv s="2">
    <fb>681.15</fb>
    <v>10</v>
  </rv>
  <rv s="2">
    <fb>686.05</fb>
    <v>10</v>
  </rv>
  <rv s="2">
    <fb>712.75</fb>
    <v>10</v>
  </rv>
  <rv s="2">
    <fb>710.15</fb>
    <v>10</v>
  </rv>
  <rv s="2">
    <fb>726.3</fb>
    <v>10</v>
  </rv>
  <rv s="2">
    <fb>699.4</fb>
    <v>10</v>
  </rv>
  <rv s="2">
    <fb>679.45</fb>
    <v>10</v>
  </rv>
  <rv s="2">
    <fb>685.9</fb>
    <v>10</v>
  </rv>
  <rv s="2">
    <fb>696.4</fb>
    <v>10</v>
  </rv>
  <rv s="2">
    <fb>690.45</fb>
    <v>10</v>
  </rv>
  <rv s="2">
    <fb>699.65</fb>
    <v>10</v>
  </rv>
  <rv s="2">
    <fb>700.15</fb>
    <v>10</v>
  </rv>
  <rv s="2">
    <fb>718.9</fb>
    <v>10</v>
  </rv>
  <rv s="2">
    <fb>705.9</fb>
    <v>10</v>
  </rv>
  <rv s="2">
    <fb>703.9</fb>
    <v>10</v>
  </rv>
  <rv s="2">
    <fb>683.45</fb>
    <v>10</v>
  </rv>
  <rv s="2">
    <fb>670.15</fb>
    <v>10</v>
  </rv>
  <rv s="2">
    <fb>676.5</fb>
    <v>10</v>
  </rv>
  <rv s="2">
    <fb>688.75</fb>
    <v>10</v>
  </rv>
  <rv s="2">
    <fb>700.8</fb>
    <v>10</v>
  </rv>
  <rv s="2">
    <fb>712.65</fb>
    <v>10</v>
  </rv>
  <rv s="2">
    <fb>688.4</fb>
    <v>10</v>
  </rv>
  <rv s="2">
    <fb>696.55</fb>
    <v>10</v>
  </rv>
  <rv s="2">
    <fb>692.75</fb>
    <v>10</v>
  </rv>
  <rv s="2">
    <fb>674.35</fb>
    <v>10</v>
  </rv>
  <rv s="2">
    <fb>669.15</fb>
    <v>10</v>
  </rv>
  <rv s="2">
    <fb>669.35</fb>
    <v>10</v>
  </rv>
  <rv s="2">
    <fb>726.55</fb>
    <v>10</v>
  </rv>
  <rv s="2">
    <fb>732.25</fb>
    <v>10</v>
  </rv>
  <rv s="2">
    <fb>752.7</fb>
    <v>10</v>
  </rv>
  <rv s="2">
    <fb>764.85</fb>
    <v>10</v>
  </rv>
  <rv s="2">
    <fb>770.4</fb>
    <v>10</v>
  </rv>
  <rv s="2">
    <fb>768.25</fb>
    <v>10</v>
  </rv>
  <rv s="2">
    <fb>763.55</fb>
    <v>10</v>
  </rv>
  <rv s="2">
    <fb>738.7</fb>
    <v>10</v>
  </rv>
  <rv s="2">
    <fb>747.65</fb>
    <v>10</v>
  </rv>
  <rv s="2">
    <fb>744.75</fb>
    <v>10</v>
  </rv>
  <rv s="2">
    <fb>742.1</fb>
    <v>10</v>
  </rv>
  <rv s="2">
    <fb>751.9</fb>
    <v>10</v>
  </rv>
  <rv s="2">
    <fb>698.4</fb>
    <v>10</v>
  </rv>
  <rv s="2">
    <fb>685.6</fb>
    <v>10</v>
  </rv>
  <rv s="2">
    <fb>686.6</fb>
    <v>10</v>
  </rv>
  <rv s="2">
    <fb>695.8</fb>
    <v>10</v>
  </rv>
  <rv s="2">
    <fb>711.65</fb>
    <v>10</v>
  </rv>
  <rv s="2">
    <fb>693.05</fb>
    <v>10</v>
  </rv>
  <rv s="2">
    <fb>710</fb>
    <v>10</v>
  </rv>
  <rv s="2">
    <fb>698.7</fb>
    <v>10</v>
  </rv>
  <rv s="2">
    <fb>689.95</fb>
    <v>10</v>
  </rv>
  <rv s="2">
    <fb>691.05</fb>
    <v>10</v>
  </rv>
  <rv s="2">
    <fb>707.7</fb>
    <v>10</v>
  </rv>
  <rv s="2">
    <fb>695.1</fb>
    <v>10</v>
  </rv>
  <rv s="2">
    <fb>696</fb>
    <v>10</v>
  </rv>
  <rv s="2">
    <fb>721.4</fb>
    <v>10</v>
  </rv>
  <rv s="2">
    <fb>771.25</fb>
    <v>10</v>
  </rv>
  <rv s="2">
    <fb>744.1</fb>
    <v>10</v>
  </rv>
  <rv s="2">
    <fb>748.2</fb>
    <v>10</v>
  </rv>
  <rv s="2">
    <fb>746.9</fb>
    <v>10</v>
  </rv>
  <rv s="2">
    <fb>759.35</fb>
    <v>10</v>
  </rv>
  <rv s="2">
    <fb>790.05</fb>
    <v>10</v>
  </rv>
  <rv s="2">
    <fb>785.6</fb>
    <v>10</v>
  </rv>
  <rv s="2">
    <fb>798</fb>
    <v>10</v>
  </rv>
  <rv s="2">
    <fb>795.35</fb>
    <v>10</v>
  </rv>
  <rv s="2">
    <fb>794.65</fb>
    <v>10</v>
  </rv>
  <rv s="2">
    <fb>796.05</fb>
    <v>10</v>
  </rv>
  <rv s="2">
    <fb>784.2</fb>
    <v>10</v>
  </rv>
  <rv s="2">
    <fb>809.65</fb>
    <v>10</v>
  </rv>
  <rv s="2">
    <fb>803.3</fb>
    <v>10</v>
  </rv>
  <rv s="2">
    <fb>767.8</fb>
    <v>10</v>
  </rv>
  <rv s="2">
    <fb>762.95</fb>
    <v>10</v>
  </rv>
  <rv s="2">
    <fb>763.6</fb>
    <v>10</v>
  </rv>
  <rv s="2">
    <fb>761.8</fb>
    <v>10</v>
  </rv>
  <rv s="2">
    <fb>751.75</fb>
    <v>10</v>
  </rv>
  <rv s="2">
    <fb>739.1</fb>
    <v>10</v>
  </rv>
  <rv s="2">
    <fb>733.3</fb>
    <v>10</v>
  </rv>
  <rv s="2">
    <fb>735</fb>
    <v>10</v>
  </rv>
  <rv s="2">
    <fb>747.55</fb>
    <v>10</v>
  </rv>
  <rv s="2">
    <fb>751.4</fb>
    <v>10</v>
  </rv>
  <rv s="2">
    <fb>765</fb>
    <v>10</v>
  </rv>
  <rv s="2">
    <fb>759.65</fb>
    <v>10</v>
  </rv>
  <rv s="2">
    <fb>771.95</fb>
    <v>10</v>
  </rv>
  <rv s="2">
    <fb>769.85</fb>
    <v>10</v>
  </rv>
  <rv s="2">
    <fb>781.25</fb>
    <v>10</v>
  </rv>
  <rv s="2">
    <fb>776.05</fb>
    <v>10</v>
  </rv>
  <rv s="2">
    <fb>764.6</fb>
    <v>10</v>
  </rv>
  <rv s="2">
    <fb>769.8</fb>
    <v>10</v>
  </rv>
  <rv s="2">
    <fb>786.05</fb>
    <v>10</v>
  </rv>
  <rv s="2">
    <fb>774.05</fb>
    <v>10</v>
  </rv>
  <rv s="2">
    <fb>772.25</fb>
    <v>10</v>
  </rv>
  <rv s="2">
    <fb>777.6</fb>
    <v>10</v>
  </rv>
  <rv s="2">
    <fb>773.2</fb>
    <v>10</v>
  </rv>
  <rv s="2">
    <fb>765.55</fb>
    <v>10</v>
  </rv>
  <rv s="2">
    <fb>741.3</fb>
    <v>10</v>
  </rv>
  <rv s="2">
    <fb>741.8</fb>
    <v>10</v>
  </rv>
  <rv s="2">
    <fb>747.2</fb>
    <v>10</v>
  </rv>
  <rv s="2">
    <fb>749.75</fb>
    <v>10</v>
  </rv>
  <rv s="2">
    <fb>712.3</fb>
    <v>10</v>
  </rv>
  <rv s="2">
    <fb>728.1</fb>
    <v>10</v>
  </rv>
  <rv s="2">
    <fb>729.65</fb>
    <v>10</v>
  </rv>
  <rv s="2">
    <fb>725.3</fb>
    <v>10</v>
  </rv>
  <rv s="2">
    <fb>728.2</fb>
    <v>10</v>
  </rv>
  <rv s="2">
    <fb>738.8</fb>
    <v>10</v>
  </rv>
  <rv s="2">
    <fb>740.25</fb>
    <v>10</v>
  </rv>
  <rv s="2">
    <fb>744</fb>
    <v>10</v>
  </rv>
  <rv s="2">
    <fb>730.3</fb>
    <v>10</v>
  </rv>
  <rv s="2">
    <fb>740.95</fb>
    <v>10</v>
  </rv>
  <rv s="2">
    <fb>736.45</fb>
    <v>10</v>
  </rv>
  <rv s="2">
    <fb>722.1</fb>
    <v>10</v>
  </rv>
  <rv s="2">
    <fb>721.25</fb>
    <v>10</v>
  </rv>
  <rv s="2">
    <fb>713.05</fb>
    <v>10</v>
  </rv>
  <rv s="2">
    <fb>708.75</fb>
    <v>10</v>
  </rv>
  <rv s="2">
    <fb>695.45</fb>
    <v>10</v>
  </rv>
  <rv s="2">
    <fb>705.15</fb>
    <v>10</v>
  </rv>
  <rv s="2">
    <fb>711.55</fb>
    <v>10</v>
  </rv>
  <rv s="2">
    <fb>705.65</fb>
    <v>10</v>
  </rv>
  <rv s="2">
    <fb>700.9</fb>
    <v>10</v>
  </rv>
  <rv s="2">
    <fb>680.35</fb>
    <v>10</v>
  </rv>
  <rv s="2">
    <fb>649.6</fb>
    <v>10</v>
  </rv>
  <rv s="2">
    <fb>640.1</fb>
    <v>10</v>
  </rv>
  <rv s="2">
    <fb>625.20000000000005</fb>
    <v>10</v>
  </rv>
  <rv s="2">
    <fb>628.45000000000005</fb>
    <v>10</v>
  </rv>
  <rv s="2">
    <fb>611.35</fb>
    <v>10</v>
  </rv>
  <rv s="2">
    <fb>608.1</fb>
    <v>10</v>
  </rv>
  <rv s="2">
    <fb>613.1</fb>
    <v>10</v>
  </rv>
  <rv s="2">
    <fb>616.20000000000005</fb>
    <v>10</v>
  </rv>
  <rv s="2">
    <fb>624.70000000000005</fb>
    <v>10</v>
  </rv>
  <rv s="2">
    <fb>616.35</fb>
    <v>10</v>
  </rv>
  <rv s="2">
    <fb>609.45000000000005</fb>
    <v>10</v>
  </rv>
  <rv s="2">
    <fb>615.79999999999995</fb>
    <v>10</v>
  </rv>
  <rv s="2">
    <fb>615.35</fb>
    <v>10</v>
  </rv>
  <rv s="2">
    <fb>621.25</fb>
    <v>10</v>
  </rv>
  <rv s="2">
    <fb>613.29999999999995</fb>
    <v>10</v>
  </rv>
  <rv s="2">
    <fb>607.25</fb>
    <v>10</v>
  </rv>
  <rv s="2">
    <fb>609.29999999999995</fb>
    <v>10</v>
  </rv>
  <rv s="2">
    <fb>595.85</fb>
    <v>10</v>
  </rv>
  <rv s="2">
    <fb>586.9</fb>
    <v>10</v>
  </rv>
  <rv s="2">
    <fb>587.70000000000005</fb>
    <v>10</v>
  </rv>
  <rv s="2">
    <fb>594.04999999999995</fb>
    <v>10</v>
  </rv>
  <rv s="2">
    <fb>590.25</fb>
    <v>10</v>
  </rv>
  <rv s="2">
    <fb>590.5</fb>
    <v>10</v>
  </rv>
  <rv s="2">
    <fb>599.20000000000005</fb>
    <v>10</v>
  </rv>
  <rv s="2">
    <fb>605.1</fb>
    <v>10</v>
  </rv>
  <rv s="2">
    <fb>602.25</fb>
    <v>10</v>
  </rv>
  <rv s="2">
    <fb>606.25</fb>
    <v>10</v>
  </rv>
  <rv s="2">
    <fb>594.85</fb>
    <v>10</v>
  </rv>
  <rv s="2">
    <fb>585.1</fb>
    <v>10</v>
  </rv>
  <rv s="2">
    <fb>580.1</fb>
    <v>10</v>
  </rv>
  <rv s="2">
    <fb>585.65</fb>
    <v>10</v>
  </rv>
  <rv s="2">
    <fb>589.9</fb>
    <v>10</v>
  </rv>
  <rv s="2">
    <fb>592.35</fb>
    <v>10</v>
  </rv>
  <rv s="2">
    <fb>594.6</fb>
    <v>10</v>
  </rv>
  <rv s="2">
    <fb>593.04999999999995</fb>
    <v>10</v>
  </rv>
  <rv s="2">
    <fb>595.6</fb>
    <v>10</v>
  </rv>
  <rv s="2">
    <fb>593.65</fb>
    <v>10</v>
  </rv>
  <rv s="2">
    <fb>583.25</fb>
    <v>10</v>
  </rv>
  <rv s="2">
    <fb>579.04999999999995</fb>
    <v>10</v>
  </rv>
  <rv s="2">
    <fb>563.25</fb>
    <v>10</v>
  </rv>
  <rv s="2">
    <fb>569.70000000000005</fb>
    <v>10</v>
  </rv>
  <rv s="2">
    <fb>580.25</fb>
    <v>10</v>
  </rv>
  <rv s="2">
    <fb>580.85</fb>
    <v>10</v>
  </rv>
  <rv s="2">
    <fb>573</fb>
    <v>10</v>
  </rv>
  <rv s="2">
    <fb>570.65</fb>
    <v>10</v>
  </rv>
  <rv s="2">
    <fb>577.35</fb>
    <v>10</v>
  </rv>
  <rv s="2">
    <fb>591.85</fb>
    <v>10</v>
  </rv>
  <rv s="2">
    <fb>600.95000000000005</fb>
    <v>10</v>
  </rv>
  <rv s="2">
    <fb>604.65</fb>
    <v>10</v>
  </rv>
  <rv s="2">
    <fb>605.04999999999995</fb>
    <v>10</v>
  </rv>
  <rv s="2">
    <fb>608.65</fb>
    <v>10</v>
  </rv>
  <rv s="2">
    <fb>599.4</fb>
    <v>10</v>
  </rv>
  <rv s="2">
    <fb>611.6</fb>
    <v>10</v>
  </rv>
  <rv s="2">
    <fb>608.20000000000005</fb>
    <v>10</v>
  </rv>
  <rv s="2">
    <fb>603.1</fb>
    <v>10</v>
  </rv>
  <rv s="2">
    <fb>604.35</fb>
    <v>10</v>
  </rv>
  <rv s="2">
    <fb>610.6</fb>
    <v>10</v>
  </rv>
  <rv s="2">
    <fb>606.79999999999995</fb>
    <v>10</v>
  </rv>
  <rv s="2">
    <fb>611.70000000000005</fb>
    <v>10</v>
  </rv>
  <rv s="2">
    <fb>620.85</fb>
    <v>10</v>
  </rv>
  <rv s="2">
    <fb>623.6</fb>
    <v>10</v>
  </rv>
  <rv s="2">
    <fb>633</fb>
    <v>10</v>
  </rv>
  <rv s="2">
    <fb>623.70000000000005</fb>
    <v>10</v>
  </rv>
  <rv s="2">
    <fb>635.85</fb>
    <v>10</v>
  </rv>
  <rv s="2">
    <fb>634.9</fb>
    <v>10</v>
  </rv>
  <rv s="2">
    <fb>639.65</fb>
    <v>10</v>
  </rv>
  <rv s="2">
    <fb>642.04999999999995</fb>
    <v>10</v>
  </rv>
  <rv s="2">
    <fb>638.25</fb>
    <v>10</v>
  </rv>
  <rv s="2">
    <fb>646.85</fb>
    <v>10</v>
  </rv>
  <rv s="2">
    <fb>643.20000000000005</fb>
    <v>10</v>
  </rv>
  <rv s="2">
    <fb>639.29999999999995</fb>
    <v>10</v>
  </rv>
  <rv s="2">
    <fb>631.4</fb>
    <v>10</v>
  </rv>
  <rv s="2">
    <fb>626.35</fb>
    <v>10</v>
  </rv>
  <rv s="2">
    <fb>644.9</fb>
    <v>10</v>
  </rv>
  <rv s="2">
    <fb>661.2</fb>
    <v>10</v>
  </rv>
  <rv s="2">
    <fb>661.7</fb>
    <v>10</v>
  </rv>
  <rv s="2">
    <fb>668.45</fb>
    <v>10</v>
  </rv>
  <rv s="2">
    <fb>672.75</fb>
    <v>10</v>
  </rv>
  <rv s="2">
    <fb>673.7</fb>
    <v>10</v>
  </rv>
  <rv s="2">
    <fb>670.45</fb>
    <v>10</v>
  </rv>
  <rv s="2">
    <fb>670.95</fb>
    <v>10</v>
  </rv>
  <rv s="2">
    <fb>659.45</fb>
    <v>10</v>
  </rv>
  <rv s="2">
    <fb>667.05</fb>
    <v>10</v>
  </rv>
  <rv s="2">
    <fb>670.3</fb>
    <v>10</v>
  </rv>
  <rv s="2">
    <fb>672.6</fb>
    <v>10</v>
  </rv>
  <rv s="2">
    <fb>674.15</fb>
    <v>10</v>
  </rv>
  <rv s="2">
    <fb>673.45</fb>
    <v>10</v>
  </rv>
  <rv s="2">
    <fb>663.4</fb>
    <v>10</v>
  </rv>
  <rv s="2">
    <fb>651.04999999999995</fb>
    <v>10</v>
  </rv>
  <rv s="2">
    <fb>662.3</fb>
    <v>10</v>
  </rv>
  <rv s="2">
    <fb>668.3</fb>
    <v>10</v>
  </rv>
  <rv s="2">
    <fb>660.95</fb>
    <v>10</v>
  </rv>
  <rv s="2">
    <fb>636.35</fb>
    <v>10</v>
  </rv>
  <rv s="2">
    <fb>653.15</fb>
    <v>10</v>
  </rv>
  <rv s="2">
    <fb>642.45000000000005</fb>
    <v>10</v>
  </rv>
  <rv s="3">
    <v>https://www.bing.com/financeapi/forcetrigger?t=ahi62w&amp;q=XNSE%3aHINDUNILVR&amp;form=skydnc</v>
    <v>Learn more on Bing</v>
  </rv>
  <rv s="4">
    <v>en-IN</v>
    <v>ahi62w</v>
    <v>268435456</v>
    <v>1</v>
    <v>Powered by Refinitiv</v>
    <v>6</v>
    <v>HINDUSTAN UNILEVER LIMITED (XNSE:HINDUNILVR)</v>
    <v>7</v>
    <v>8</v>
    <v>Finance</v>
    <v>9</v>
    <v>2741.6</v>
    <v>2108.15</v>
    <v>0.22550000000000001</v>
    <v>-6.35</v>
    <v>-2.392E-3</v>
    <v>INR</v>
    <v>Hindustan Unilever Limited is an India-based consumer goods company. The Company's segments are Home care, which includes detergent bars, detergent powders, detergent liquids, scourers, water business and purifiers business; Beauty &amp; Personal Care, which includes products in the categories of oral care, skin care, soaps, hair care, deodorants, talcum powder, color cosmetics and salon services; Foods &amp; Refreshment, which includes staples, culinary products, tea, coffee, health food drinks, ice-cream and frozen desserts, and Others, which includes exports and infant care products. The Company's portfolio includes household brands, such as Lux, Lifebuoy, Surf excel, Rin, Wheel, Glow &amp; Lovely, Pond’s, Vaseline, Lakme, Dove, Clinic Plus, Sunsilk, Pepsodent, Closeup, Axe, Brooke Bond, Bru, Knorr, Kissan, Kwality Wall’s, Horlicks and Pureit.</v>
    <v>16000</v>
    <v>National Stock Exchange of India</v>
    <v>XNSE</v>
    <v>XNSE</v>
    <v>Unilever House,, Secretarial Dept, Building 1, Level 3 (B1L3),, B D Sawant Marg, Chakala,, MUMBAI, MAHARASHTRA, 400099 IN</v>
    <v>2654.35</v>
    <v>Personal &amp; Household Products &amp; Services</v>
    <v>Stock</v>
    <v>45100.194085648145</v>
    <v>739</v>
    <v>2632.2</v>
    <v>6288916000000</v>
    <v>HINDUSTAN UNILEVER LIMITED</v>
    <v>HINDUSTAN UNILEVER LIMITED</v>
    <v>2651.3</v>
    <v>61.62</v>
    <v>2654.35</v>
    <v>2648</v>
    <v>2349591000</v>
    <v>HINDUNILVR</v>
    <v>HINDUSTAN UNILEVER LIMITED (XNSE:HINDUNILVR)</v>
    <v>127314</v>
    <v>1341470</v>
    <v>1933</v>
  </rv>
  <rv s="1">
    <v>740</v>
  </rv>
  <rv s="2">
    <fb>2252.6</fb>
    <v>10</v>
  </rv>
  <rv s="2">
    <fb>2303.9</fb>
    <v>10</v>
  </rv>
  <rv s="2">
    <fb>2320.65</fb>
    <v>10</v>
  </rv>
  <rv s="2">
    <fb>2317.65</fb>
    <v>10</v>
  </rv>
  <rv s="2">
    <fb>2233.4499999999998</fb>
    <v>10</v>
  </rv>
  <rv s="2">
    <fb>2230.6</fb>
    <v>10</v>
  </rv>
  <rv s="2">
    <fb>2282.35</fb>
    <v>10</v>
  </rv>
  <rv s="2">
    <fb>2375.1999999999998</fb>
    <v>10</v>
  </rv>
  <rv s="2">
    <fb>2401.5</fb>
    <v>10</v>
  </rv>
  <rv s="2">
    <fb>2498.4</fb>
    <v>10</v>
  </rv>
  <rv s="2">
    <fb>2472.9499999999998</fb>
    <v>10</v>
  </rv>
  <rv s="2">
    <fb>2496.85</fb>
    <v>10</v>
  </rv>
  <rv s="2">
    <fb>2490.6</fb>
    <v>10</v>
  </rv>
  <rv s="2">
    <fb>2449.5500000000002</fb>
    <v>10</v>
  </rv>
  <rv s="2">
    <fb>2497.75</fb>
    <v>10</v>
  </rv>
  <rv s="2">
    <fb>2497.8000000000002</fb>
    <v>10</v>
  </rv>
  <rv s="2">
    <fb>2568.5</fb>
    <v>10</v>
  </rv>
  <rv s="2">
    <fb>2553.5</fb>
    <v>10</v>
  </rv>
  <rv s="2">
    <fb>2567.9499999999998</fb>
    <v>10</v>
  </rv>
  <rv s="2">
    <fb>2604.5</fb>
    <v>10</v>
  </rv>
  <rv s="2">
    <fb>2607.4499999999998</fb>
    <v>10</v>
  </rv>
  <rv s="2">
    <fb>2640.6</fb>
    <v>10</v>
  </rv>
  <rv s="2">
    <fb>2623.6</fb>
    <v>10</v>
  </rv>
  <rv s="2">
    <fb>2547.1</fb>
    <v>10</v>
  </rv>
  <rv s="2">
    <fb>2581.9499999999998</fb>
    <v>10</v>
  </rv>
  <rv s="2">
    <fb>2620.1</fb>
    <v>10</v>
  </rv>
  <rv s="2">
    <fb>2637.4</fb>
    <v>10</v>
  </rv>
  <rv s="2">
    <fb>2593</fb>
    <v>10</v>
  </rv>
  <rv s="2">
    <fb>2635.25</fb>
    <v>10</v>
  </rv>
  <rv s="2">
    <fb>2626.35</fb>
    <v>10</v>
  </rv>
  <rv s="2">
    <fb>2627.95</fb>
    <v>10</v>
  </rv>
  <rv s="2">
    <fb>2645.4</fb>
    <v>10</v>
  </rv>
  <rv s="2">
    <fb>2650.35</fb>
    <v>10</v>
  </rv>
  <rv s="2">
    <fb>2642.8</fb>
    <v>10</v>
  </rv>
  <rv s="2">
    <fb>2613.6999999999998</fb>
    <v>10</v>
  </rv>
  <rv s="2">
    <fb>2594.9499999999998</fb>
    <v>10</v>
  </rv>
  <rv s="2">
    <fb>2644.5</fb>
    <v>10</v>
  </rv>
  <rv s="2">
    <fb>2684.65</fb>
    <v>10</v>
  </rv>
  <rv s="2">
    <fb>2682.05</fb>
    <v>10</v>
  </rv>
  <rv s="2">
    <fb>2634.55</fb>
    <v>10</v>
  </rv>
  <rv s="2">
    <fb>2626.7</fb>
    <v>10</v>
  </rv>
  <rv s="2">
    <fb>2592.75</fb>
    <v>10</v>
  </rv>
  <rv s="2">
    <fb>2588.25</fb>
    <v>10</v>
  </rv>
  <rv s="2">
    <fb>2574.1999999999998</fb>
    <v>10</v>
  </rv>
  <rv s="2">
    <fb>2571.5500000000002</fb>
    <v>10</v>
  </rv>
  <rv s="2">
    <fb>2575.8000000000002</fb>
    <v>10</v>
  </rv>
  <rv s="2">
    <fb>2659.85</fb>
    <v>10</v>
  </rv>
  <rv s="2">
    <fb>2606</fb>
    <v>10</v>
  </rv>
  <rv s="2">
    <fb>2603.6</fb>
    <v>10</v>
  </rv>
  <rv s="2">
    <fb>2600.6</fb>
    <v>10</v>
  </rv>
  <rv s="2">
    <fb>2573.1</fb>
    <v>10</v>
  </rv>
  <rv s="2">
    <fb>2564.6</fb>
    <v>10</v>
  </rv>
  <rv s="2">
    <fb>2577.15</fb>
    <v>10</v>
  </rv>
  <rv s="2">
    <fb>2588.6999999999998</fb>
    <v>10</v>
  </rv>
  <rv s="2">
    <fb>2580.4</fb>
    <v>10</v>
  </rv>
  <rv s="2">
    <fb>2586.6</fb>
    <v>10</v>
  </rv>
  <rv s="2">
    <fb>2571.4</fb>
    <v>10</v>
  </rv>
  <rv s="2">
    <fb>2560.4</fb>
    <v>10</v>
  </rv>
  <rv s="2">
    <fb>2528.15</fb>
    <v>10</v>
  </rv>
  <rv s="2">
    <fb>2579.25</fb>
    <v>10</v>
  </rv>
  <rv s="2">
    <fb>2583.5500000000002</fb>
    <v>10</v>
  </rv>
  <rv s="2">
    <fb>2692.75</fb>
    <v>10</v>
  </rv>
  <rv s="2">
    <fb>2660.55</fb>
    <v>10</v>
  </rv>
  <rv s="2">
    <fb>2679.25</fb>
    <v>10</v>
  </rv>
  <rv s="2">
    <fb>2702.1</fb>
    <v>10</v>
  </rv>
  <rv s="2">
    <fb>2700.55</fb>
    <v>10</v>
  </rv>
  <rv s="2">
    <fb>2696.45</fb>
    <v>10</v>
  </rv>
  <rv s="2">
    <fb>2622.5</fb>
    <v>10</v>
  </rv>
  <rv s="2">
    <fb>2667.95</fb>
    <v>10</v>
  </rv>
  <rv s="2">
    <fb>2614</fb>
    <v>10</v>
  </rv>
  <rv s="2">
    <fb>2599.6999999999998</fb>
    <v>10</v>
  </rv>
  <rv s="2">
    <fb>2605.6</fb>
    <v>10</v>
  </rv>
  <rv s="2">
    <fb>2550.65</fb>
    <v>10</v>
  </rv>
  <rv s="2">
    <fb>2591.35</fb>
    <v>10</v>
  </rv>
  <rv s="2">
    <fb>2566.4</fb>
    <v>10</v>
  </rv>
  <rv s="2">
    <fb>2590.5500000000002</fb>
    <v>10</v>
  </rv>
  <rv s="2">
    <fb>2602.25</fb>
    <v>10</v>
  </rv>
  <rv s="2">
    <fb>2583</fb>
    <v>10</v>
  </rv>
  <rv s="2">
    <fb>2600.9</fb>
    <v>10</v>
  </rv>
  <rv s="2">
    <fb>2653.9</fb>
    <v>10</v>
  </rv>
  <rv s="2">
    <fb>2505.4</fb>
    <v>10</v>
  </rv>
  <rv s="2">
    <fb>2519</fb>
    <v>10</v>
  </rv>
  <rv s="2">
    <fb>2524.25</fb>
    <v>10</v>
  </rv>
  <rv s="2">
    <fb>2550.6999999999998</fb>
    <v>10</v>
  </rv>
  <rv s="2">
    <fb>2551.8000000000002</fb>
    <v>10</v>
  </rv>
  <rv s="2">
    <fb>2518.3000000000002</fb>
    <v>10</v>
  </rv>
  <rv s="2">
    <fb>2546.35</fb>
    <v>10</v>
  </rv>
  <rv s="2">
    <fb>2520.35</fb>
    <v>10</v>
  </rv>
  <rv s="2">
    <fb>2532.8000000000002</fb>
    <v>10</v>
  </rv>
  <rv s="2">
    <fb>2508.8000000000002</fb>
    <v>10</v>
  </rv>
  <rv s="2">
    <fb>2513.6</fb>
    <v>10</v>
  </rv>
  <rv s="2">
    <fb>2503.0500000000002</fb>
    <v>10</v>
  </rv>
  <rv s="2">
    <fb>2457.8000000000002</fb>
    <v>10</v>
  </rv>
  <rv s="2">
    <fb>2457.5</fb>
    <v>10</v>
  </rv>
  <rv s="2">
    <fb>2477.85</fb>
    <v>10</v>
  </rv>
  <rv s="2">
    <fb>2460</fb>
    <v>10</v>
  </rv>
  <rv s="2">
    <fb>2483.6999999999998</fb>
    <v>10</v>
  </rv>
  <rv s="2">
    <fb>2501.4</fb>
    <v>10</v>
  </rv>
  <rv s="2">
    <fb>2515.6999999999998</fb>
    <v>10</v>
  </rv>
  <rv s="2">
    <fb>2507.35</fb>
    <v>10</v>
  </rv>
  <rv s="2">
    <fb>2549.15</fb>
    <v>10</v>
  </rv>
  <rv s="2">
    <fb>2537.4499999999998</fb>
    <v>10</v>
  </rv>
  <rv s="2">
    <fb>2525.1999999999998</fb>
    <v>10</v>
  </rv>
  <rv s="2">
    <fb>2634.2</fb>
    <v>10</v>
  </rv>
  <rv s="2">
    <fb>2684.35</fb>
    <v>10</v>
  </rv>
  <rv s="2">
    <fb>2662.85</fb>
    <v>10</v>
  </rv>
  <rv s="2">
    <fb>2615.1</fb>
    <v>10</v>
  </rv>
  <rv s="2">
    <fb>2619.85</fb>
    <v>10</v>
  </rv>
  <rv s="2">
    <fb>2654.55</fb>
    <v>10</v>
  </rv>
  <rv s="2">
    <fb>2707.35</fb>
    <v>10</v>
  </rv>
  <rv s="2">
    <fb>2705.45</fb>
    <v>10</v>
  </rv>
  <rv s="2">
    <fb>2717.25</fb>
    <v>10</v>
  </rv>
  <rv s="2">
    <fb>2710.3</fb>
    <v>10</v>
  </rv>
  <rv s="2">
    <fb>2663.25</fb>
    <v>10</v>
  </rv>
  <rv s="2">
    <fb>2671.3</fb>
    <v>10</v>
  </rv>
  <rv s="2">
    <fb>2718.1</fb>
    <v>10</v>
  </rv>
  <rv s="2">
    <fb>2674.55</fb>
    <v>10</v>
  </rv>
  <rv s="2">
    <fb>2666.2</fb>
    <v>10</v>
  </rv>
  <rv s="2">
    <fb>2645.35</fb>
    <v>10</v>
  </rv>
  <rv s="2">
    <fb>2621.1</fb>
    <v>10</v>
  </rv>
  <rv s="2">
    <fb>2617.4499999999998</fb>
    <v>10</v>
  </rv>
  <rv s="2">
    <fb>2593.25</fb>
    <v>10</v>
  </rv>
  <rv s="2">
    <fb>2583.6</fb>
    <v>10</v>
  </rv>
  <rv s="2">
    <fb>2568.0500000000002</fb>
    <v>10</v>
  </rv>
  <rv s="2">
    <fb>2561.0500000000002</fb>
    <v>10</v>
  </rv>
  <rv s="2">
    <fb>2558.4</fb>
    <v>10</v>
  </rv>
  <rv s="2">
    <fb>2542.0500000000002</fb>
    <v>10</v>
  </rv>
  <rv s="2">
    <fb>2536.1</fb>
    <v>10</v>
  </rv>
  <rv s="2">
    <fb>2583.6999999999998</fb>
    <v>10</v>
  </rv>
  <rv s="2">
    <fb>2576.4499999999998</fb>
    <v>10</v>
  </rv>
  <rv s="2">
    <fb>2624.05</fb>
    <v>10</v>
  </rv>
  <rv s="2">
    <fb>2643.85</fb>
    <v>10</v>
  </rv>
  <rv s="2">
    <fb>2590.0500000000002</fb>
    <v>10</v>
  </rv>
  <rv s="2">
    <fb>2624</fb>
    <v>10</v>
  </rv>
  <rv s="2">
    <fb>2597.1</fb>
    <v>10</v>
  </rv>
  <rv s="2">
    <fb>2667.55</fb>
    <v>10</v>
  </rv>
  <rv s="2">
    <fb>2686.2</fb>
    <v>10</v>
  </rv>
  <rv s="2">
    <fb>2649.75</fb>
    <v>10</v>
  </rv>
  <rv s="2">
    <fb>2548.75</fb>
    <v>10</v>
  </rv>
  <rv s="2">
    <fb>2596.4</fb>
    <v>10</v>
  </rv>
  <rv s="2">
    <fb>2600.5</fb>
    <v>10</v>
  </rv>
  <rv s="2">
    <fb>2622.35</fb>
    <v>10</v>
  </rv>
  <rv s="2">
    <fb>2612.15</fb>
    <v>10</v>
  </rv>
  <rv s="2">
    <fb>2568.15</fb>
    <v>10</v>
  </rv>
  <rv s="2">
    <fb>2576.75</fb>
    <v>10</v>
  </rv>
  <rv s="2">
    <fb>2574.25</fb>
    <v>10</v>
  </rv>
  <rv s="2">
    <fb>2634.85</fb>
    <v>10</v>
  </rv>
  <rv s="2">
    <fb>2648.75</fb>
    <v>10</v>
  </rv>
  <rv s="2">
    <fb>2637.6</fb>
    <v>10</v>
  </rv>
  <rv s="2">
    <fb>2601.1999999999998</fb>
    <v>10</v>
  </rv>
  <rv s="2">
    <fb>2582.8000000000002</fb>
    <v>10</v>
  </rv>
  <rv s="2">
    <fb>2586.6999999999998</fb>
    <v>10</v>
  </rv>
  <rv s="2">
    <fb>2577.5</fb>
    <v>10</v>
  </rv>
  <rv s="2">
    <fb>2581</fb>
    <v>10</v>
  </rv>
  <rv s="2">
    <fb>2579.6</fb>
    <v>10</v>
  </rv>
  <rv s="2">
    <fb>2548.4499999999998</fb>
    <v>10</v>
  </rv>
  <rv s="2">
    <fb>2527.1</fb>
    <v>10</v>
  </rv>
  <rv s="2">
    <fb>2515.5</fb>
    <v>10</v>
  </rv>
  <rv s="2">
    <fb>2511.4499999999998</fb>
    <v>10</v>
  </rv>
  <rv s="2">
    <fb>2516.15</fb>
    <v>10</v>
  </rv>
  <rv s="2">
    <fb>2494.0500000000002</fb>
    <v>10</v>
  </rv>
  <rv s="2">
    <fb>2490.65</fb>
    <v>10</v>
  </rv>
  <rv s="2">
    <fb>2484.1999999999998</fb>
    <v>10</v>
  </rv>
  <rv s="2">
    <fb>2468.15</fb>
    <v>10</v>
  </rv>
  <rv s="2">
    <fb>2460.65</fb>
    <v>10</v>
  </rv>
  <rv s="2">
    <fb>2466.25</fb>
    <v>10</v>
  </rv>
  <rv s="2">
    <fb>2455.35</fb>
    <v>10</v>
  </rv>
  <rv s="2">
    <fb>2471</fb>
    <v>10</v>
  </rv>
  <rv s="2">
    <fb>2484.85</fb>
    <v>10</v>
  </rv>
  <rv s="2">
    <fb>2485.1</fb>
    <v>10</v>
  </rv>
  <rv s="2">
    <fb>2461.4</fb>
    <v>10</v>
  </rv>
  <rv s="2">
    <fb>2465.4499999999998</fb>
    <v>10</v>
  </rv>
  <rv s="2">
    <fb>2455.1</fb>
    <v>10</v>
  </rv>
  <rv s="2">
    <fb>2442.4499999999998</fb>
    <v>10</v>
  </rv>
  <rv s="2">
    <fb>2406.1</fb>
    <v>10</v>
  </rv>
  <rv s="2">
    <fb>2459.35</fb>
    <v>10</v>
  </rv>
  <rv s="2">
    <fb>2447.4</fb>
    <v>10</v>
  </rv>
  <rv s="2">
    <fb>2511.1999999999998</fb>
    <v>10</v>
  </rv>
  <rv s="2">
    <fb>2462.6</fb>
    <v>10</v>
  </rv>
  <rv s="2">
    <fb>2476.35</fb>
    <v>10</v>
  </rv>
  <rv s="2">
    <fb>2480.8000000000002</fb>
    <v>10</v>
  </rv>
  <rv s="2">
    <fb>2499</fb>
    <v>10</v>
  </rv>
  <rv s="2">
    <fb>2482.8000000000002</fb>
    <v>10</v>
  </rv>
  <rv s="2">
    <fb>2530.85</fb>
    <v>10</v>
  </rv>
  <rv s="2">
    <fb>2560.35</fb>
    <v>10</v>
  </rv>
  <rv s="2">
    <fb>2582.75</fb>
    <v>10</v>
  </rv>
  <rv s="2">
    <fb>2565.25</fb>
    <v>10</v>
  </rv>
  <rv s="2">
    <fb>2532.15</fb>
    <v>10</v>
  </rv>
  <rv s="2">
    <fb>2547.75</fb>
    <v>10</v>
  </rv>
  <rv s="2">
    <fb>2528.9499999999998</fb>
    <v>10</v>
  </rv>
  <rv s="2">
    <fb>2536.1999999999998</fb>
    <v>10</v>
  </rv>
  <rv s="2">
    <fb>2551.85</fb>
    <v>10</v>
  </rv>
  <rv s="2">
    <fb>2541.0500000000002</fb>
    <v>10</v>
  </rv>
  <rv s="2">
    <fb>2531.6</fb>
    <v>10</v>
  </rv>
  <rv s="2">
    <fb>2492.6</fb>
    <v>10</v>
  </rv>
  <rv s="2">
    <fb>2497.9499999999998</fb>
    <v>10</v>
  </rv>
  <rv s="2">
    <fb>2499.75</fb>
    <v>10</v>
  </rv>
  <rv s="2">
    <fb>2490.4499999999998</fb>
    <v>10</v>
  </rv>
  <rv s="2">
    <fb>2510.8000000000002</fb>
    <v>10</v>
  </rv>
  <rv s="2">
    <fb>2468.9499999999998</fb>
    <v>10</v>
  </rv>
  <rv s="2">
    <fb>2457.3000000000002</fb>
    <v>10</v>
  </rv>
  <rv s="2">
    <fb>2451.6999999999998</fb>
    <v>10</v>
  </rv>
  <rv s="2">
    <fb>2486</fb>
    <v>10</v>
  </rv>
  <rv s="2">
    <fb>2506.75</fb>
    <v>10</v>
  </rv>
  <rv s="2">
    <fb>2500.75</fb>
    <v>10</v>
  </rv>
  <rv s="2">
    <fb>2516.3000000000002</fb>
    <v>10</v>
  </rv>
  <rv s="2">
    <fb>2515.8000000000002</fb>
    <v>10</v>
  </rv>
  <rv s="2">
    <fb>2522.6999999999998</fb>
    <v>10</v>
  </rv>
  <rv s="2">
    <fb>2592.4</fb>
    <v>10</v>
  </rv>
  <rv s="2">
    <fb>2623.4</fb>
    <v>10</v>
  </rv>
  <rv s="2">
    <fb>2662.25</fb>
    <v>10</v>
  </rv>
  <rv s="2">
    <fb>2675.9</fb>
    <v>10</v>
  </rv>
  <rv s="2">
    <fb>2661.75</fb>
    <v>10</v>
  </rv>
  <rv s="2">
    <fb>2627.55</fb>
    <v>10</v>
  </rv>
  <rv s="2">
    <fb>2641.45</fb>
    <v>10</v>
  </rv>
  <rv s="2">
    <fb>2638.1</fb>
    <v>10</v>
  </rv>
  <rv s="2">
    <fb>2628.3</fb>
    <v>10</v>
  </rv>
  <rv s="2">
    <fb>2614.9499999999998</fb>
    <v>10</v>
  </rv>
  <rv s="2">
    <fb>2597.25</fb>
    <v>10</v>
  </rv>
  <rv s="2">
    <fb>2652.35</fb>
    <v>10</v>
  </rv>
  <rv s="2">
    <fb>2650.3</fb>
    <v>10</v>
  </rv>
  <rv s="2">
    <fb>2656.55</fb>
    <v>10</v>
  </rv>
  <rv s="2">
    <fb>2697.9</fb>
    <v>10</v>
  </rv>
  <rv s="2">
    <fb>2716.7</fb>
    <v>10</v>
  </rv>
  <rv s="2">
    <fb>2695.8</fb>
    <v>10</v>
  </rv>
  <rv s="2">
    <fb>2691.15</fb>
    <v>10</v>
  </rv>
  <rv s="2">
    <fb>2716.2</fb>
    <v>10</v>
  </rv>
  <rv s="2">
    <fb>2679.9</fb>
    <v>10</v>
  </rv>
  <rv s="2">
    <fb>2636.2</fb>
    <v>10</v>
  </rv>
  <rv s="2">
    <fb>2643.45</fb>
    <v>10</v>
  </rv>
  <rv s="2">
    <fb>2698.75</fb>
    <v>10</v>
  </rv>
  <rv s="2">
    <fb>2689.7</fb>
    <v>10</v>
  </rv>
  <rv s="2">
    <fb>2715.65</fb>
    <v>10</v>
  </rv>
  <rv s="2">
    <fb>2683.25</fb>
    <v>10</v>
  </rv>
  <rv s="2">
    <fb>2676.1</fb>
    <v>10</v>
  </rv>
  <rv s="2">
    <fb>2676.6</fb>
    <v>10</v>
  </rv>
  <rv s="2">
    <fb>2654.35</fb>
    <v>10</v>
  </rv>
  <rv s="3">
    <v>https://www.bing.com/financeapi/forcetrigger?t=ahiiyc&amp;q=XNSE%3aJUBLFOOD&amp;form=skydnc</v>
    <v>Learn more on Bing</v>
  </rv>
  <rv s="4">
    <v>en-IN</v>
    <v>ahiiyc</v>
    <v>268435456</v>
    <v>1</v>
    <v>Powered by Refinitiv</v>
    <v>6</v>
    <v>Jubilant FoodWorks Limited (XNSE:JUBLFOOD)</v>
    <v>7</v>
    <v>8</v>
    <v>Finance</v>
    <v>9</v>
    <v>652.35</v>
    <v>412.1</v>
    <v>0.93359999999999999</v>
    <v>-5.35</v>
    <v>-1.0802000000000001E-2</v>
    <v>INR</v>
    <v>Jubilant FoodWorks Limited is an India-based food service company. The Company operates through its food and beverages segment. The Company is engaged in retail sales of food through international and home-grown brands addressing different food market segments. Its international brands include Domino’s Pizza, Dunkin’ Donuts and Popeyes. The Company has rights to open and operate Domino’s Pizza Restaurants in India, Sri Lanka, Bangladesh and Nepal. The Company directly operates Domino’s Pizza in India and through its subsidiaries in Sri Lanka and Bangladesh. Its home grown brands include Hong’s Kitchen, ChefBoss and Ekdum. Its Hong’s Kitchen is engaged in Chinese cuisine segment. Ekdum offers a range of biryanis curated from various parts of India using authentic ingredients along with a range of kebabs, curries, breads, desserts and beverages. The Company operates approximately 1,500 outlets for Domino's Pizza, Dunkin' Donuts and Hong's Kitchen.</v>
    <v>29346</v>
    <v>National Stock Exchange of India</v>
    <v>XNSE</v>
    <v>XNSE</v>
    <v>5th Floor, Tower D, Logix Techno Park, Plot No 5, NOIDA, UTTAR PRADESH, 201304 IN</v>
    <v>496.9</v>
    <v>Hotels &amp; Entertainment Services</v>
    <v>Stock</v>
    <v>45100.194097222222</v>
    <v>979</v>
    <v>484.4</v>
    <v>326129100000</v>
    <v>Jubilant FoodWorks Limited</v>
    <v>Jubilant FoodWorks Limited</v>
    <v>496.9</v>
    <v>92.58</v>
    <v>495.3</v>
    <v>489.95</v>
    <v>658647000</v>
    <v>JUBLFOOD</v>
    <v>Jubilant FoodWorks Limited (XNSE:JUBLFOOD)</v>
    <v>618221</v>
    <v>1600400</v>
    <v>1995</v>
  </rv>
  <rv s="1">
    <v>980</v>
  </rv>
  <rv s="2">
    <fb>527.75</fb>
    <v>10</v>
  </rv>
  <rv s="2">
    <fb>533.6</fb>
    <v>10</v>
  </rv>
  <rv s="2">
    <fb>542.65</fb>
    <v>10</v>
  </rv>
  <rv s="2">
    <fb>535.54999999999995</fb>
    <v>10</v>
  </rv>
  <rv s="2">
    <fb>513.4</fb>
    <v>10</v>
  </rv>
  <rv s="2">
    <fb>512.25</fb>
    <v>10</v>
  </rv>
  <rv s="2">
    <fb>541.45000000000005</fb>
    <v>10</v>
  </rv>
  <rv s="2">
    <fb>548.29999999999995</fb>
    <v>10</v>
  </rv>
  <rv s="2">
    <fb>555.1</fb>
    <v>10</v>
  </rv>
  <rv s="2">
    <fb>562.95000000000005</fb>
    <v>10</v>
  </rv>
  <rv s="2">
    <fb>570.79999999999995</fb>
    <v>10</v>
  </rv>
  <rv s="2">
    <fb>575.20000000000005</fb>
    <v>10</v>
  </rv>
  <rv s="2">
    <fb>581.95000000000005</fb>
    <v>10</v>
  </rv>
  <rv s="2">
    <fb>578.20000000000005</fb>
    <v>10</v>
  </rv>
  <rv s="2">
    <fb>581.70000000000005</fb>
    <v>10</v>
  </rv>
  <rv s="2">
    <fb>559.65</fb>
    <v>10</v>
  </rv>
  <rv s="2">
    <fb>565.29999999999995</fb>
    <v>10</v>
  </rv>
  <rv s="2">
    <fb>559.95000000000005</fb>
    <v>10</v>
  </rv>
  <rv s="2">
    <fb>558.79999999999995</fb>
    <v>10</v>
  </rv>
  <rv s="2">
    <fb>584.04999999999995</fb>
    <v>10</v>
  </rv>
  <rv s="2">
    <fb>581.04999999999995</fb>
    <v>10</v>
  </rv>
  <rv s="2">
    <fb>573.35</fb>
    <v>10</v>
  </rv>
  <rv s="2">
    <fb>552.4</fb>
    <v>10</v>
  </rv>
  <rv s="2">
    <fb>558.65</fb>
    <v>10</v>
  </rv>
  <rv s="2">
    <fb>565.45000000000005</fb>
    <v>10</v>
  </rv>
  <rv s="2">
    <fb>550.25</fb>
    <v>10</v>
  </rv>
  <rv s="2">
    <fb>565.9</fb>
    <v>10</v>
  </rv>
  <rv s="2">
    <fb>573.20000000000005</fb>
    <v>10</v>
  </rv>
  <rv s="2">
    <fb>569.29999999999995</fb>
    <v>10</v>
  </rv>
  <rv s="2">
    <fb>575.65</fb>
    <v>10</v>
  </rv>
  <rv s="2">
    <fb>567.54999999999995</fb>
    <v>10</v>
  </rv>
  <rv s="2">
    <fb>568.6</fb>
    <v>10</v>
  </rv>
  <rv s="2">
    <fb>588.15</fb>
    <v>10</v>
  </rv>
  <rv s="2">
    <fb>574.15</fb>
    <v>10</v>
  </rv>
  <rv s="2">
    <fb>584.25</fb>
    <v>10</v>
  </rv>
  <rv s="2">
    <fb>605.85</fb>
    <v>10</v>
  </rv>
  <rv s="2">
    <fb>620.15</fb>
    <v>10</v>
  </rv>
  <rv s="2">
    <fb>596.6</fb>
    <v>10</v>
  </rv>
  <rv s="2">
    <fb>564.70000000000005</fb>
    <v>10</v>
  </rv>
  <rv s="2">
    <fb>581.25</fb>
    <v>10</v>
  </rv>
  <rv s="2">
    <fb>579.15</fb>
    <v>10</v>
  </rv>
  <rv s="2">
    <fb>585</fb>
    <v>10</v>
  </rv>
  <rv s="2">
    <fb>591</fb>
    <v>10</v>
  </rv>
  <rv s="2">
    <fb>603.20000000000005</fb>
    <v>10</v>
  </rv>
  <rv s="2">
    <fb>616.29999999999995</fb>
    <v>10</v>
  </rv>
  <rv s="2">
    <fb>618.5</fb>
    <v>10</v>
  </rv>
  <rv s="2">
    <fb>606.4</fb>
    <v>10</v>
  </rv>
  <rv s="2">
    <fb>598.9</fb>
    <v>10</v>
  </rv>
  <rv s="2">
    <fb>612.25</fb>
    <v>10</v>
  </rv>
  <rv s="2">
    <fb>607.4</fb>
    <v>10</v>
  </rv>
  <rv s="2">
    <fb>601</fb>
    <v>10</v>
  </rv>
  <rv s="2">
    <fb>625.15</fb>
    <v>10</v>
  </rv>
  <rv s="2">
    <fb>624.25</fb>
    <v>10</v>
  </rv>
  <rv s="2">
    <fb>635.29999999999995</fb>
    <v>10</v>
  </rv>
  <rv s="2">
    <fb>634.5</fb>
    <v>10</v>
  </rv>
  <rv s="2">
    <fb>626.54999999999995</fb>
    <v>10</v>
  </rv>
  <rv s="2">
    <fb>614.70000000000005</fb>
    <v>10</v>
  </rv>
  <rv s="2">
    <fb>623.04999999999995</fb>
    <v>10</v>
  </rv>
  <rv s="2">
    <fb>634.95000000000005</fb>
    <v>10</v>
  </rv>
  <rv s="2">
    <fb>621.04999999999995</fb>
    <v>10</v>
  </rv>
  <rv s="2">
    <fb>602.65</fb>
    <v>10</v>
  </rv>
  <rv s="2">
    <fb>603.4</fb>
    <v>10</v>
  </rv>
  <rv s="2">
    <fb>603.6</fb>
    <v>10</v>
  </rv>
  <rv s="2">
    <fb>622.70000000000005</fb>
    <v>10</v>
  </rv>
  <rv s="2">
    <fb>614.95000000000005</fb>
    <v>10</v>
  </rv>
  <rv s="2">
    <fb>633.4</fb>
    <v>10</v>
  </rv>
  <rv s="2">
    <fb>639.20000000000005</fb>
    <v>10</v>
  </rv>
  <rv s="2">
    <fb>618.95000000000005</fb>
    <v>10</v>
  </rv>
  <rv s="2">
    <fb>615.75</fb>
    <v>10</v>
  </rv>
  <rv s="2">
    <fb>600.20000000000005</fb>
    <v>10</v>
  </rv>
  <rv s="2">
    <fb>604.1</fb>
    <v>10</v>
  </rv>
  <rv s="2">
    <fb>604.6</fb>
    <v>10</v>
  </rv>
  <rv s="2">
    <fb>597.6</fb>
    <v>10</v>
  </rv>
  <rv s="2">
    <fb>596.29999999999995</fb>
    <v>10</v>
  </rv>
  <rv s="2">
    <fb>601.4</fb>
    <v>10</v>
  </rv>
  <rv s="2">
    <fb>591.75</fb>
    <v>10</v>
  </rv>
  <rv s="2">
    <fb>590.70000000000005</fb>
    <v>10</v>
  </rv>
  <rv s="2">
    <fb>591.35</fb>
    <v>10</v>
  </rv>
  <rv s="2">
    <fb>592.85</fb>
    <v>10</v>
  </rv>
  <rv s="2">
    <fb>594.20000000000005</fb>
    <v>10</v>
  </rv>
  <rv s="2">
    <fb>609.95000000000005</fb>
    <v>10</v>
  </rv>
  <rv s="2">
    <fb>620</fb>
    <v>10</v>
  </rv>
  <rv s="2">
    <fb>615.95000000000005</fb>
    <v>10</v>
  </rv>
  <rv s="2">
    <fb>608.4</fb>
    <v>10</v>
  </rv>
  <rv s="2">
    <fb>606.35</fb>
    <v>10</v>
  </rv>
  <rv s="2">
    <fb>612.70000000000005</fb>
    <v>10</v>
  </rv>
  <rv s="2">
    <fb>566.45000000000005</fb>
    <v>10</v>
  </rv>
  <rv s="2">
    <fb>554.29999999999995</fb>
    <v>10</v>
  </rv>
  <rv s="2">
    <fb>563.04999999999995</fb>
    <v>10</v>
  </rv>
  <rv s="2">
    <fb>562.1</fb>
    <v>10</v>
  </rv>
  <rv s="2">
    <fb>561</fb>
    <v>10</v>
  </rv>
  <rv s="2">
    <fb>552.45000000000005</fb>
    <v>10</v>
  </rv>
  <rv s="2">
    <fb>551.04999999999995</fb>
    <v>10</v>
  </rv>
  <rv s="2">
    <fb>536.65</fb>
    <v>10</v>
  </rv>
  <rv s="2">
    <fb>544.79999999999995</fb>
    <v>10</v>
  </rv>
  <rv s="2">
    <fb>540.54999999999995</fb>
    <v>10</v>
  </rv>
  <rv s="2">
    <fb>549.9</fb>
    <v>10</v>
  </rv>
  <rv s="2">
    <fb>556.25</fb>
    <v>10</v>
  </rv>
  <rv s="2">
    <fb>553.04999999999995</fb>
    <v>10</v>
  </rv>
  <rv s="2">
    <fb>546.04999999999995</fb>
    <v>10</v>
  </rv>
  <rv s="2">
    <fb>546.85</fb>
    <v>10</v>
  </rv>
  <rv s="2">
    <fb>547.15</fb>
    <v>10</v>
  </rv>
  <rv s="2">
    <fb>547.65</fb>
    <v>10</v>
  </rv>
  <rv s="2">
    <fb>553.85</fb>
    <v>10</v>
  </rv>
  <rv s="2">
    <fb>555.29999999999995</fb>
    <v>10</v>
  </rv>
  <rv s="2">
    <fb>538.70000000000005</fb>
    <v>10</v>
  </rv>
  <rv s="2">
    <fb>536.85</fb>
    <v>10</v>
  </rv>
  <rv s="2">
    <fb>535.65</fb>
    <v>10</v>
  </rv>
  <rv s="2">
    <fb>528</fb>
    <v>10</v>
  </rv>
  <rv s="2">
    <fb>521.4</fb>
    <v>10</v>
  </rv>
  <rv s="2">
    <fb>533.4</fb>
    <v>10</v>
  </rv>
  <rv s="2">
    <fb>523.85</fb>
    <v>10</v>
  </rv>
  <rv s="2">
    <fb>520.20000000000005</fb>
    <v>10</v>
  </rv>
  <rv s="2">
    <fb>519.29999999999995</fb>
    <v>10</v>
  </rv>
  <rv s="2">
    <fb>520.6</fb>
    <v>10</v>
  </rv>
  <rv s="2">
    <fb>521.20000000000005</fb>
    <v>10</v>
  </rv>
  <rv s="2">
    <fb>533.79999999999995</fb>
    <v>10</v>
  </rv>
  <rv s="2">
    <fb>511.25</fb>
    <v>10</v>
  </rv>
  <rv s="2">
    <fb>521.29999999999995</fb>
    <v>10</v>
  </rv>
  <rv s="2">
    <fb>519.65</fb>
    <v>10</v>
  </rv>
  <rv s="2">
    <fb>514.5</fb>
    <v>10</v>
  </rv>
  <rv s="2">
    <fb>510.1</fb>
    <v>10</v>
  </rv>
  <rv s="2">
    <fb>511.05</fb>
    <v>10</v>
  </rv>
  <rv s="2">
    <fb>505.05</fb>
    <v>10</v>
  </rv>
  <rv s="2">
    <fb>507.35</fb>
    <v>10</v>
  </rv>
  <rv s="2">
    <fb>499.3</fb>
    <v>10</v>
  </rv>
  <rv s="2">
    <fb>503.8</fb>
    <v>10</v>
  </rv>
  <rv s="2">
    <fb>498</fb>
    <v>10</v>
  </rv>
  <rv s="2">
    <fb>499.5</fb>
    <v>10</v>
  </rv>
  <rv s="2">
    <fb>492.1</fb>
    <v>10</v>
  </rv>
  <rv s="2">
    <fb>491.2</fb>
    <v>10</v>
  </rv>
  <rv s="2">
    <fb>488.55</fb>
    <v>10</v>
  </rv>
  <rv s="2">
    <fb>497.65</fb>
    <v>10</v>
  </rv>
  <rv s="2">
    <fb>497.35</fb>
    <v>10</v>
  </rv>
  <rv s="2">
    <fb>495.75</fb>
    <v>10</v>
  </rv>
  <rv s="2">
    <fb>510.5</fb>
    <v>10</v>
  </rv>
  <rv s="2">
    <fb>510</fb>
    <v>10</v>
  </rv>
  <rv s="2">
    <fb>509.15</fb>
    <v>10</v>
  </rv>
  <rv s="2">
    <fb>503.2</fb>
    <v>10</v>
  </rv>
  <rv s="2">
    <fb>493.85</fb>
    <v>10</v>
  </rv>
  <rv s="2">
    <fb>484.3</fb>
    <v>10</v>
  </rv>
  <rv s="2">
    <fb>485.3</fb>
    <v>10</v>
  </rv>
  <rv s="2">
    <fb>486.85</fb>
    <v>10</v>
  </rv>
  <rv s="2">
    <fb>456.45</fb>
    <v>10</v>
  </rv>
  <rv s="2">
    <fb>435.6</fb>
    <v>10</v>
  </rv>
  <rv s="2">
    <fb>430</fb>
    <v>10</v>
  </rv>
  <rv s="2">
    <fb>444.5</fb>
    <v>10</v>
  </rv>
  <rv s="2">
    <fb>437.1</fb>
    <v>10</v>
  </rv>
  <rv s="2">
    <fb>443.35</fb>
    <v>10</v>
  </rv>
  <rv s="2">
    <fb>457.9</fb>
    <v>10</v>
  </rv>
  <rv s="2">
    <fb>460.35</fb>
    <v>10</v>
  </rv>
  <rv s="2">
    <fb>458.55</fb>
    <v>10</v>
  </rv>
  <rv s="2">
    <fb>451</fb>
    <v>10</v>
  </rv>
  <rv s="2">
    <fb>454.25</fb>
    <v>10</v>
  </rv>
  <rv s="2">
    <fb>466.4</fb>
    <v>10</v>
  </rv>
  <rv s="2">
    <fb>456.95</fb>
    <v>10</v>
  </rv>
  <rv s="2">
    <fb>458.75</fb>
    <v>10</v>
  </rv>
  <rv s="2">
    <fb>460.5</fb>
    <v>10</v>
  </rv>
  <rv s="2">
    <fb>453.3</fb>
    <v>10</v>
  </rv>
  <rv s="2">
    <fb>442.75</fb>
    <v>10</v>
  </rv>
  <rv s="2">
    <fb>442.15</fb>
    <v>10</v>
  </rv>
  <rv s="2">
    <fb>434.35</fb>
    <v>10</v>
  </rv>
  <rv s="2">
    <fb>440.85</fb>
    <v>10</v>
  </rv>
  <rv s="2">
    <fb>442.9</fb>
    <v>10</v>
  </rv>
  <rv s="2">
    <fb>441.3</fb>
    <v>10</v>
  </rv>
  <rv s="2">
    <fb>441.35</fb>
    <v>10</v>
  </rv>
  <rv s="2">
    <fb>447.1</fb>
    <v>10</v>
  </rv>
  <rv s="2">
    <fb>457.35</fb>
    <v>10</v>
  </rv>
  <rv s="2">
    <fb>460.6</fb>
    <v>10</v>
  </rv>
  <rv s="2">
    <fb>453.6</fb>
    <v>10</v>
  </rv>
  <rv s="2">
    <fb>442.85</fb>
    <v>10</v>
  </rv>
  <rv s="2">
    <fb>437.4</fb>
    <v>10</v>
  </rv>
  <rv s="2">
    <fb>427.35</fb>
    <v>10</v>
  </rv>
  <rv s="2">
    <fb>425.35</fb>
    <v>10</v>
  </rv>
  <rv s="2">
    <fb>426.7</fb>
    <v>10</v>
  </rv>
  <rv s="2">
    <fb>435.05</fb>
    <v>10</v>
  </rv>
  <rv s="2">
    <fb>445.2</fb>
    <v>10</v>
  </rv>
  <rv s="2">
    <fb>449.4</fb>
    <v>10</v>
  </rv>
  <rv s="2">
    <fb>448.15</fb>
    <v>10</v>
  </rv>
  <rv s="2">
    <fb>440.95</fb>
    <v>10</v>
  </rv>
  <rv s="2">
    <fb>439.9</fb>
    <v>10</v>
  </rv>
  <rv s="2">
    <fb>431</fb>
    <v>10</v>
  </rv>
  <rv s="2">
    <fb>430.05</fb>
    <v>10</v>
  </rv>
  <rv s="2">
    <fb>440.1</fb>
    <v>10</v>
  </rv>
  <rv s="2">
    <fb>435.7</fb>
    <v>10</v>
  </rv>
  <rv s="2">
    <fb>435.3</fb>
    <v>10</v>
  </rv>
  <rv s="2">
    <fb>433</fb>
    <v>10</v>
  </rv>
  <rv s="2">
    <fb>425.5</fb>
    <v>10</v>
  </rv>
  <rv s="2">
    <fb>422.1</fb>
    <v>10</v>
  </rv>
  <rv s="2">
    <fb>430.75</fb>
    <v>10</v>
  </rv>
  <rv s="2">
    <fb>435.15</fb>
    <v>10</v>
  </rv>
  <rv s="2">
    <fb>440.65</fb>
    <v>10</v>
  </rv>
  <rv s="2">
    <fb>437.75</fb>
    <v>10</v>
  </rv>
  <rv s="2">
    <fb>438.2</fb>
    <v>10</v>
  </rv>
  <rv s="2">
    <fb>442.55</fb>
    <v>10</v>
  </rv>
  <rv s="2">
    <fb>449.75</fb>
    <v>10</v>
  </rv>
  <rv s="2">
    <fb>450.1</fb>
    <v>10</v>
  </rv>
  <rv s="2">
    <fb>444.25</fb>
    <v>10</v>
  </rv>
  <rv s="2">
    <fb>444.9</fb>
    <v>10</v>
  </rv>
  <rv s="2">
    <fb>446.45</fb>
    <v>10</v>
  </rv>
  <rv s="2">
    <fb>461.6</fb>
    <v>10</v>
  </rv>
  <rv s="2">
    <fb>458</fb>
    <v>10</v>
  </rv>
  <rv s="2">
    <fb>471.9</fb>
    <v>10</v>
  </rv>
  <rv s="2">
    <fb>465.15</fb>
    <v>10</v>
  </rv>
  <rv s="2">
    <fb>466</fb>
    <v>10</v>
  </rv>
  <rv s="2">
    <fb>463.6</fb>
    <v>10</v>
  </rv>
  <rv s="2">
    <fb>469.15</fb>
    <v>10</v>
  </rv>
  <rv s="2">
    <fb>470.5</fb>
    <v>10</v>
  </rv>
  <rv s="2">
    <fb>467.35</fb>
    <v>10</v>
  </rv>
  <rv s="2">
    <fb>469.05</fb>
    <v>10</v>
  </rv>
  <rv s="2">
    <fb>466.7</fb>
    <v>10</v>
  </rv>
  <rv s="2">
    <fb>481.1</fb>
    <v>10</v>
  </rv>
  <rv s="2">
    <fb>474.7</fb>
    <v>10</v>
  </rv>
  <rv s="2">
    <fb>468.7</fb>
    <v>10</v>
  </rv>
  <rv s="2">
    <fb>469.6</fb>
    <v>10</v>
  </rv>
  <rv s="2">
    <fb>474</fb>
    <v>10</v>
  </rv>
  <rv s="2">
    <fb>473.8</fb>
    <v>10</v>
  </rv>
  <rv s="2">
    <fb>489.15</fb>
    <v>10</v>
  </rv>
  <rv s="2">
    <fb>483.65</fb>
    <v>10</v>
  </rv>
  <rv s="2">
    <fb>482.4</fb>
    <v>10</v>
  </rv>
  <rv s="2">
    <fb>487.95</fb>
    <v>10</v>
  </rv>
  <rv s="2">
    <fb>483.3</fb>
    <v>10</v>
  </rv>
  <rv s="2">
    <fb>491.5</fb>
    <v>10</v>
  </rv>
  <rv s="2">
    <fb>492.05</fb>
    <v>10</v>
  </rv>
  <rv s="2">
    <fb>494</fb>
    <v>10</v>
  </rv>
  <rv s="2">
    <fb>490.75</fb>
    <v>10</v>
  </rv>
  <rv s="2">
    <fb>493.05</fb>
    <v>10</v>
  </rv>
  <rv s="2">
    <fb>486.05</fb>
    <v>10</v>
  </rv>
  <rv s="2">
    <fb>479.55</fb>
    <v>10</v>
  </rv>
  <rv s="2">
    <fb>483.15</fb>
    <v>10</v>
  </rv>
  <rv s="2">
    <fb>485</fb>
    <v>10</v>
  </rv>
  <rv s="2">
    <fb>494.3</fb>
    <v>10</v>
  </rv>
  <rv s="2">
    <fb>497</fb>
    <v>10</v>
  </rv>
  <rv s="2">
    <fb>498.15</fb>
    <v>10</v>
  </rv>
  <rv s="2">
    <fb>494.4</fb>
    <v>10</v>
  </rv>
  <rv s="2">
    <fb>495.15</fb>
    <v>10</v>
  </rv>
  <rv s="2">
    <fb>495.3</fb>
    <v>10</v>
  </rv>
  <rv s="3">
    <v>https://www.bing.com/financeapi/forcetrigger?t=ahjfbh&amp;q=XNSE%3aPIDILITIND&amp;form=skydnc</v>
    <v>Learn more on Bing</v>
  </rv>
  <rv s="4">
    <v>en-IN</v>
    <v>ahjfbh</v>
    <v>268435456</v>
    <v>1</v>
    <v>Powered by Refinitiv</v>
    <v>6</v>
    <v>PIDILITE INDUSTRIES LIMITED (XNSE:PIDILITIND)</v>
    <v>7</v>
    <v>8</v>
    <v>Finance</v>
    <v>9</v>
    <v>2918.95</v>
    <v>2010.65</v>
    <v>0.69969999999999999</v>
    <v>7.8</v>
    <v>2.9589999999999998E-3</v>
    <v>INR</v>
    <v>Pidilite Industries Limited is an India-based company, which is engaged in consumer and industrial specialty chemicals. The Company operates through two segments: Consumer &amp; Bazaar (C&amp;B) and Business to Business (B2B). C&amp;B segment is engaged in the sale of products mainly to end consumers, which are retail users, such as carpenters, painters, plumbers, mechanics, households, students, offices and other. Its sales consist of mainly adhesives, sealants, art and craft materials and construction and paint chemicals. B2B segment is engaged in the sale of products to end customers, which are mainly large business users. This includes Industrial Products (IP), such as adhesives, synthetic resins, organic pigments, pigment preparations, construction chemicals (projects) and surfactants, and caters to various industries, such as packaging, textiles, paints, joineries, printing inks, paper, leather and other. Its subsidiaries include Tenax Pidilite India Pvt Ltd and Pidilite Adhesives Pvt Ltd.</v>
    <v>7622</v>
    <v>National Stock Exchange of India</v>
    <v>XNSE</v>
    <v>XNSE</v>
    <v>Ramkrishna Mandir Road, Off Mathuradas Vasanji Road, Andheri (E), MUMBAI, MAHARASHTRA, 400059 IN</v>
    <v>2670</v>
    <v>Chemicals</v>
    <v>Stock</v>
    <v>45100.194085648145</v>
    <v>1219</v>
    <v>2636</v>
    <v>1357917000000</v>
    <v>PIDILITE INDUSTRIES LIMITED</v>
    <v>PIDILITE INDUSTRIES LIMITED</v>
    <v>2650.4</v>
    <v>105.24</v>
    <v>2636.3</v>
    <v>2644.1</v>
    <v>508345300</v>
    <v>PIDILITIND</v>
    <v>PIDILITE INDUSTRIES LIMITED (XNSE:PIDILITIND)</v>
    <v>125719</v>
    <v>381900</v>
    <v>1969</v>
  </rv>
  <rv s="1">
    <v>1220</v>
  </rv>
  <rv s="2">
    <fb>2145.5500000000002</fb>
    <v>10</v>
  </rv>
  <rv s="2">
    <fb>2169.25</fb>
    <v>10</v>
  </rv>
  <rv s="2">
    <fb>2143.15</fb>
    <v>10</v>
  </rv>
  <rv s="2">
    <fb>2116.1999999999998</fb>
    <v>10</v>
  </rv>
  <rv s="2">
    <fb>2098.15</fb>
    <v>10</v>
  </rv>
  <rv s="2">
    <fb>2089.9</fb>
    <v>10</v>
  </rv>
  <rv s="2">
    <fb>2158.35</fb>
    <v>10</v>
  </rv>
  <rv s="2">
    <fb>2192.4499999999998</fb>
    <v>10</v>
  </rv>
  <rv s="2">
    <fb>2177.0500000000002</fb>
    <v>10</v>
  </rv>
  <rv s="2">
    <fb>2219.5500000000002</fb>
    <v>10</v>
  </rv>
  <rv s="2">
    <fb>2237.0500000000002</fb>
    <v>10</v>
  </rv>
  <rv s="2">
    <fb>2250.85</fb>
    <v>10</v>
  </rv>
  <rv s="2">
    <fb>2268.5500000000002</fb>
    <v>10</v>
  </rv>
  <rv s="2">
    <fb>2250.75</fb>
    <v>10</v>
  </rv>
  <rv s="2">
    <fb>2285.4499999999998</fb>
    <v>10</v>
  </rv>
  <rv s="2">
    <fb>2289.8000000000002</fb>
    <v>10</v>
  </rv>
  <rv s="2">
    <fb>2307.65</fb>
    <v>10</v>
  </rv>
  <rv s="2">
    <fb>2302.1</fb>
    <v>10</v>
  </rv>
  <rv s="2">
    <fb>2291.4499999999998</fb>
    <v>10</v>
  </rv>
  <rv s="2">
    <fb>2320.85</fb>
    <v>10</v>
  </rv>
  <rv s="2">
    <fb>2362.15</fb>
    <v>10</v>
  </rv>
  <rv s="2">
    <fb>2357.75</fb>
    <v>10</v>
  </rv>
  <rv s="2">
    <fb>2333.3000000000002</fb>
    <v>10</v>
  </rv>
  <rv s="2">
    <fb>2320.5</fb>
    <v>10</v>
  </rv>
  <rv s="2">
    <fb>2354.4</fb>
    <v>10</v>
  </rv>
  <rv s="2">
    <fb>2399.8000000000002</fb>
    <v>10</v>
  </rv>
  <rv s="2">
    <fb>2451.25</fb>
    <v>10</v>
  </rv>
  <rv s="2">
    <fb>2496.15</fb>
    <v>10</v>
  </rv>
  <rv s="2">
    <fb>2520.4499999999998</fb>
    <v>10</v>
  </rv>
  <rv s="2">
    <fb>2523.25</fb>
    <v>10</v>
  </rv>
  <rv s="2">
    <fb>2554.1</fb>
    <v>10</v>
  </rv>
  <rv s="2">
    <fb>2640.85</fb>
    <v>10</v>
  </rv>
  <rv s="2">
    <fb>2649.35</fb>
    <v>10</v>
  </rv>
  <rv s="2">
    <fb>2636.8</fb>
    <v>10</v>
  </rv>
  <rv s="2">
    <fb>2640.65</fb>
    <v>10</v>
  </rv>
  <rv s="2">
    <fb>2665.75</fb>
    <v>10</v>
  </rv>
  <rv s="2">
    <fb>2716.3</fb>
    <v>10</v>
  </rv>
  <rv s="2">
    <fb>2723.25</fb>
    <v>10</v>
  </rv>
  <rv s="2">
    <fb>2720.8</fb>
    <v>10</v>
  </rv>
  <rv s="2">
    <fb>2680.15</fb>
    <v>10</v>
  </rv>
  <rv s="2">
    <fb>2677.85</fb>
    <v>10</v>
  </rv>
  <rv s="2">
    <fb>2670.75</fb>
    <v>10</v>
  </rv>
  <rv s="2">
    <fb>2666.9</fb>
    <v>10</v>
  </rv>
  <rv s="2">
    <fb>2700.35</fb>
    <v>10</v>
  </rv>
  <rv s="2">
    <fb>2736.3</fb>
    <v>10</v>
  </rv>
  <rv s="2">
    <fb>2820.3</fb>
    <v>10</v>
  </rv>
  <rv s="2">
    <fb>2866.7</fb>
    <v>10</v>
  </rv>
  <rv s="2">
    <fb>2832.75</fb>
    <v>10</v>
  </rv>
  <rv s="2">
    <fb>2815.8</fb>
    <v>10</v>
  </rv>
  <rv s="2">
    <fb>2803.85</fb>
    <v>10</v>
  </rv>
  <rv s="2">
    <fb>2869.65</fb>
    <v>10</v>
  </rv>
  <rv s="2">
    <fb>2844.15</fb>
    <v>10</v>
  </rv>
  <rv s="2">
    <fb>2857.6</fb>
    <v>10</v>
  </rv>
  <rv s="2">
    <fb>2857.45</fb>
    <v>10</v>
  </rv>
  <rv s="2">
    <fb>2869.15</fb>
    <v>10</v>
  </rv>
  <rv s="2">
    <fb>2901.85</fb>
    <v>10</v>
  </rv>
  <rv s="2">
    <fb>2799.05</fb>
    <v>10</v>
  </rv>
  <rv s="2">
    <fb>2806.8</fb>
    <v>10</v>
  </rv>
  <rv s="2">
    <fb>2833.9</fb>
    <v>10</v>
  </rv>
  <rv s="2">
    <fb>2818.75</fb>
    <v>10</v>
  </rv>
  <rv s="2">
    <fb>2809.95</fb>
    <v>10</v>
  </rv>
  <rv s="2">
    <fb>2800.65</fb>
    <v>10</v>
  </rv>
  <rv s="2">
    <fb>2802.2</fb>
    <v>10</v>
  </rv>
  <rv s="2">
    <fb>2804.3</fb>
    <v>10</v>
  </rv>
  <rv s="2">
    <fb>2769.75</fb>
    <v>10</v>
  </rv>
  <rv s="2">
    <fb>2704.2</fb>
    <v>10</v>
  </rv>
  <rv s="2">
    <fb>2690.3</fb>
    <v>10</v>
  </rv>
  <rv s="2">
    <fb>2656.25</fb>
    <v>10</v>
  </rv>
  <rv s="2">
    <fb>2686.65</fb>
    <v>10</v>
  </rv>
  <rv s="2">
    <fb>2661.95</fb>
    <v>10</v>
  </rv>
  <rv s="2">
    <fb>2662.6</fb>
    <v>10</v>
  </rv>
  <rv s="2">
    <fb>2645.45</fb>
    <v>10</v>
  </rv>
  <rv s="2">
    <fb>2612</fb>
    <v>10</v>
  </rv>
  <rv s="2">
    <fb>2655.15</fb>
    <v>10</v>
  </rv>
  <rv s="2">
    <fb>2621.6</fb>
    <v>10</v>
  </rv>
  <rv s="2">
    <fb>2619.75</fb>
    <v>10</v>
  </rv>
  <rv s="2">
    <fb>2691.4</fb>
    <v>10</v>
  </rv>
  <rv s="2">
    <fb>2712.65</fb>
    <v>10</v>
  </rv>
  <rv s="2">
    <fb>2664.95</fb>
    <v>10</v>
  </rv>
  <rv s="2">
    <fb>2689.75</fb>
    <v>10</v>
  </rv>
  <rv s="2">
    <fb>2637.7</fb>
    <v>10</v>
  </rv>
  <rv s="2">
    <fb>2643.5</fb>
    <v>10</v>
  </rv>
  <rv s="2">
    <fb>2618.3000000000002</fb>
    <v>10</v>
  </rv>
  <rv s="2">
    <fb>2564.4</fb>
    <v>10</v>
  </rv>
  <rv s="2">
    <fb>2560.5500000000002</fb>
    <v>10</v>
  </rv>
  <rv s="2">
    <fb>2584.4</fb>
    <v>10</v>
  </rv>
  <rv s="2">
    <fb>2643.75</fb>
    <v>10</v>
  </rv>
  <rv s="2">
    <fb>2634.45</fb>
    <v>10</v>
  </rv>
  <rv s="2">
    <fb>2643.55</fb>
    <v>10</v>
  </rv>
  <rv s="2">
    <fb>2648</fb>
    <v>10</v>
  </rv>
  <rv s="2">
    <fb>2628.65</fb>
    <v>10</v>
  </rv>
  <rv s="2">
    <fb>2652.25</fb>
    <v>10</v>
  </rv>
  <rv s="2">
    <fb>2656.35</fb>
    <v>10</v>
  </rv>
  <rv s="2">
    <fb>2661.2</fb>
    <v>10</v>
  </rv>
  <rv s="2">
    <fb>2675</fb>
    <v>10</v>
  </rv>
  <rv s="2">
    <fb>2682.45</fb>
    <v>10</v>
  </rv>
  <rv s="2">
    <fb>2693.2</fb>
    <v>10</v>
  </rv>
  <rv s="2">
    <fb>2699.25</fb>
    <v>10</v>
  </rv>
  <rv s="2">
    <fb>2662</fb>
    <v>10</v>
  </rv>
  <rv s="2">
    <fb>2696.95</fb>
    <v>10</v>
  </rv>
  <rv s="2">
    <fb>2703.9</fb>
    <v>10</v>
  </rv>
  <rv s="2">
    <fb>2662.1</fb>
    <v>10</v>
  </rv>
  <rv s="2">
    <fb>2692.35</fb>
    <v>10</v>
  </rv>
  <rv s="2">
    <fb>2727.95</fb>
    <v>10</v>
  </rv>
  <rv s="2">
    <fb>2748.7</fb>
    <v>10</v>
  </rv>
  <rv s="2">
    <fb>2733.55</fb>
    <v>10</v>
  </rv>
  <rv s="2">
    <fb>2736.2</fb>
    <v>10</v>
  </rv>
  <rv s="2">
    <fb>2733.8</fb>
    <v>10</v>
  </rv>
  <rv s="2">
    <fb>2757.2</fb>
    <v>10</v>
  </rv>
  <rv s="2">
    <fb>2772.4</fb>
    <v>10</v>
  </rv>
  <rv s="2">
    <fb>2761.75</fb>
    <v>10</v>
  </rv>
  <rv s="2">
    <fb>2739.65</fb>
    <v>10</v>
  </rv>
  <rv s="2">
    <fb>2688.15</fb>
    <v>10</v>
  </rv>
  <rv s="2">
    <fb>2648.8</fb>
    <v>10</v>
  </rv>
  <rv s="2">
    <fb>2636.3</fb>
    <v>10</v>
  </rv>
  <rv s="2">
    <fb>2616.5500000000002</fb>
    <v>10</v>
  </rv>
  <rv s="2">
    <fb>2592.9</fb>
    <v>10</v>
  </rv>
  <rv s="2">
    <fb>2599.85</fb>
    <v>10</v>
  </rv>
  <rv s="2">
    <fb>2576.6999999999998</fb>
    <v>10</v>
  </rv>
  <rv s="2">
    <fb>2565.75</fb>
    <v>10</v>
  </rv>
  <rv s="2">
    <fb>2551.75</fb>
    <v>10</v>
  </rv>
  <rv s="2">
    <fb>2490.25</fb>
    <v>10</v>
  </rv>
  <rv s="2">
    <fb>2513.5500000000002</fb>
    <v>10</v>
  </rv>
  <rv s="2">
    <fb>2537.15</fb>
    <v>10</v>
  </rv>
  <rv s="2">
    <fb>2587.9</fb>
    <v>10</v>
  </rv>
  <rv s="2">
    <fb>2601.6999999999998</fb>
    <v>10</v>
  </rv>
  <rv s="2">
    <fb>2550.15</fb>
    <v>10</v>
  </rv>
  <rv s="2">
    <fb>2530</fb>
    <v>10</v>
  </rv>
  <rv s="2">
    <fb>2537</fb>
    <v>10</v>
  </rv>
  <rv s="2">
    <fb>2510.9499999999998</fb>
    <v>10</v>
  </rv>
  <rv s="2">
    <fb>2518.1</fb>
    <v>10</v>
  </rv>
  <rv s="2">
    <fb>2522.3000000000002</fb>
    <v>10</v>
  </rv>
  <rv s="2">
    <fb>2552.35</fb>
    <v>10</v>
  </rv>
  <rv s="2">
    <fb>2529.1999999999998</fb>
    <v>10</v>
  </rv>
  <rv s="2">
    <fb>2479.5</fb>
    <v>10</v>
  </rv>
  <rv s="2">
    <fb>2495.5</fb>
    <v>10</v>
  </rv>
  <rv s="2">
    <fb>2505.15</fb>
    <v>10</v>
  </rv>
  <rv s="2">
    <fb>2449.8000000000002</fb>
    <v>10</v>
  </rv>
  <rv s="2">
    <fb>2437.4499999999998</fb>
    <v>10</v>
  </rv>
  <rv s="2">
    <fb>2488.65</fb>
    <v>10</v>
  </rv>
  <rv s="2">
    <fb>2453.1999999999998</fb>
    <v>10</v>
  </rv>
  <rv s="2">
    <fb>2402.6</fb>
    <v>10</v>
  </rv>
  <rv s="2">
    <fb>2409.6</fb>
    <v>10</v>
  </rv>
  <rv s="2">
    <fb>2382.35</fb>
    <v>10</v>
  </rv>
  <rv s="2">
    <fb>2315.3000000000002</fb>
    <v>10</v>
  </rv>
  <rv s="2">
    <fb>2290.65</fb>
    <v>10</v>
  </rv>
  <rv s="2">
    <fb>2283.4</fb>
    <v>10</v>
  </rv>
  <rv s="2">
    <fb>2279.5500000000002</fb>
    <v>10</v>
  </rv>
  <rv s="2">
    <fb>2341.5500000000002</fb>
    <v>10</v>
  </rv>
  <rv s="2">
    <fb>2315.1999999999998</fb>
    <v>10</v>
  </rv>
  <rv s="2">
    <fb>2333.75</fb>
    <v>10</v>
  </rv>
  <rv s="2">
    <fb>2327.65</fb>
    <v>10</v>
  </rv>
  <rv s="2">
    <fb>2316.15</fb>
    <v>10</v>
  </rv>
  <rv s="2">
    <fb>2301.9499999999998</fb>
    <v>10</v>
  </rv>
  <rv s="2">
    <fb>2296.1</fb>
    <v>10</v>
  </rv>
  <rv s="2">
    <fb>2311.3000000000002</fb>
    <v>10</v>
  </rv>
  <rv s="2">
    <fb>2316.75</fb>
    <v>10</v>
  </rv>
  <rv s="2">
    <fb>2333.1</fb>
    <v>10</v>
  </rv>
  <rv s="2">
    <fb>2320.0500000000002</fb>
    <v>10</v>
  </rv>
  <rv s="2">
    <fb>2331.85</fb>
    <v>10</v>
  </rv>
  <rv s="2">
    <fb>2294.65</fb>
    <v>10</v>
  </rv>
  <rv s="2">
    <fb>2268.15</fb>
    <v>10</v>
  </rv>
  <rv s="2">
    <fb>2275.6999999999998</fb>
    <v>10</v>
  </rv>
  <rv s="2">
    <fb>2279.65</fb>
    <v>10</v>
  </rv>
  <rv s="2">
    <fb>2300.8000000000002</fb>
    <v>10</v>
  </rv>
  <rv s="2">
    <fb>2307.5</fb>
    <v>10</v>
  </rv>
  <rv s="2">
    <fb>2309.9</fb>
    <v>10</v>
  </rv>
  <rv s="2">
    <fb>2318.75</fb>
    <v>10</v>
  </rv>
  <rv s="2">
    <fb>2351</fb>
    <v>10</v>
  </rv>
  <rv s="2">
    <fb>2348.1</fb>
    <v>10</v>
  </rv>
  <rv s="2">
    <fb>2308.5500000000002</fb>
    <v>10</v>
  </rv>
  <rv s="2">
    <fb>2313.5</fb>
    <v>10</v>
  </rv>
  <rv s="2">
    <fb>2302.25</fb>
    <v>10</v>
  </rv>
  <rv s="2">
    <fb>2311.4499999999998</fb>
    <v>10</v>
  </rv>
  <rv s="2">
    <fb>2341.1999999999998</fb>
    <v>10</v>
  </rv>
  <rv s="2">
    <fb>2349.9</fb>
    <v>10</v>
  </rv>
  <rv s="2">
    <fb>2372.4</fb>
    <v>10</v>
  </rv>
  <rv s="2">
    <fb>2358.4499999999998</fb>
    <v>10</v>
  </rv>
  <rv s="2">
    <fb>2377.0500000000002</fb>
    <v>10</v>
  </rv>
  <rv s="2">
    <fb>2368.1</fb>
    <v>10</v>
  </rv>
  <rv s="2">
    <fb>2364.5500000000002</fb>
    <v>10</v>
  </rv>
  <rv s="2">
    <fb>2352.0500000000002</fb>
    <v>10</v>
  </rv>
  <rv s="2">
    <fb>2336.0500000000002</fb>
    <v>10</v>
  </rv>
  <rv s="2">
    <fb>2353</fb>
    <v>10</v>
  </rv>
  <rv s="2">
    <fb>2327.6</fb>
    <v>10</v>
  </rv>
  <rv s="2">
    <fb>2322.4499999999998</fb>
    <v>10</v>
  </rv>
  <rv s="2">
    <fb>2332.0500000000002</fb>
    <v>10</v>
  </rv>
  <rv s="2">
    <fb>2355.6999999999998</fb>
    <v>10</v>
  </rv>
  <rv s="2">
    <fb>2346.15</fb>
    <v>10</v>
  </rv>
  <rv s="2">
    <fb>2347.8000000000002</fb>
    <v>10</v>
  </rv>
  <rv s="2">
    <fb>2350.1999999999998</fb>
    <v>10</v>
  </rv>
  <rv s="2">
    <fb>2369.6999999999998</fb>
    <v>10</v>
  </rv>
  <rv s="2">
    <fb>2432.5</fb>
    <v>10</v>
  </rv>
  <rv s="2">
    <fb>2408.6</fb>
    <v>10</v>
  </rv>
  <rv s="2">
    <fb>2408.1</fb>
    <v>10</v>
  </rv>
  <rv s="2">
    <fb>2440.15</fb>
    <v>10</v>
  </rv>
  <rv s="2">
    <fb>2421.15</fb>
    <v>10</v>
  </rv>
  <rv s="2">
    <fb>2411.35</fb>
    <v>10</v>
  </rv>
  <rv s="2">
    <fb>2411.75</fb>
    <v>10</v>
  </rv>
  <rv s="2">
    <fb>2389.1999999999998</fb>
    <v>10</v>
  </rv>
  <rv s="2">
    <fb>2419.25</fb>
    <v>10</v>
  </rv>
  <rv s="2">
    <fb>2419.75</fb>
    <v>10</v>
  </rv>
  <rv s="2">
    <fb>2463.9499999999998</fb>
    <v>10</v>
  </rv>
  <rv s="2">
    <fb>2465.15</fb>
    <v>10</v>
  </rv>
  <rv s="2">
    <fb>2472.1</fb>
    <v>10</v>
  </rv>
  <rv s="2">
    <fb>2450.6999999999998</fb>
    <v>10</v>
  </rv>
  <rv s="2">
    <fb>2471.75</fb>
    <v>10</v>
  </rv>
  <rv s="2">
    <fb>2509.4</fb>
    <v>10</v>
  </rv>
  <rv s="2">
    <fb>2566.4499999999998</fb>
    <v>10</v>
  </rv>
  <rv s="2">
    <fb>2587.25</fb>
    <v>10</v>
  </rv>
  <rv s="2">
    <fb>2550.35</fb>
    <v>10</v>
  </rv>
  <rv s="2">
    <fb>2544.1999999999998</fb>
    <v>10</v>
  </rv>
  <rv s="2">
    <fb>2545.1</fb>
    <v>10</v>
  </rv>
  <rv s="2">
    <fb>2552.25</fb>
    <v>10</v>
  </rv>
  <rv s="2">
    <fb>2566.6</fb>
    <v>10</v>
  </rv>
  <rv s="2">
    <fb>2535.1999999999998</fb>
    <v>10</v>
  </rv>
  <rv s="2">
    <fb>2533.3000000000002</fb>
    <v>10</v>
  </rv>
  <rv s="2">
    <fb>2526.65</fb>
    <v>10</v>
  </rv>
  <rv s="2">
    <fb>2586.15</fb>
    <v>10</v>
  </rv>
  <rv s="2">
    <fb>2582.9499999999998</fb>
    <v>10</v>
  </rv>
  <rv s="2">
    <fb>2594.1999999999998</fb>
    <v>10</v>
  </rv>
  <rv s="2">
    <fb>2607.85</fb>
    <v>10</v>
  </rv>
  <rv s="2">
    <fb>2651.55</fb>
    <v>10</v>
  </rv>
  <rv s="2">
    <fb>2632.45</fb>
    <v>10</v>
  </rv>
  <rv s="2">
    <fb>2638.55</fb>
    <v>10</v>
  </rv>
  <rv s="2">
    <fb>2624.1</fb>
    <v>10</v>
  </rv>
  <rv s="2">
    <fb>2654.85</fb>
    <v>10</v>
  </rv>
  <rv s="2">
    <fb>2640.75</fb>
    <v>10</v>
  </rv>
  <rv s="2">
    <fb>2693.1</fb>
    <v>10</v>
  </rv>
  <rv s="2">
    <fb>2680.7</fb>
    <v>10</v>
  </rv>
  <rv s="2">
    <fb>2697.7</fb>
    <v>10</v>
  </rv>
  <rv s="2">
    <fb>2673.3</fb>
    <v>10</v>
  </rv>
  <rv s="2">
    <fb>2678.5</fb>
    <v>10</v>
  </rv>
  <rv s="2">
    <fb>2671.25</fb>
    <v>10</v>
  </rv>
  <rv s="3">
    <v>https://www.bing.com/financeapi/forcetrigger?t=ahju3m&amp;q=XNSE%3aSBILIFE&amp;form=skydnc</v>
    <v>Learn more on Bing</v>
  </rv>
  <rv s="4">
    <v>en-IN</v>
    <v>ahju3m</v>
    <v>268435456</v>
    <v>1</v>
    <v>Powered by Refinitiv</v>
    <v>6</v>
    <v>SBI LIFE INSURANCE COMPANY LIMITED (XNSE:SBILIFE)</v>
    <v>7</v>
    <v>8</v>
    <v>Finance</v>
    <v>9</v>
    <v>1340.35</v>
    <v>1051.55</v>
    <v>0.95909999999999995</v>
    <v>-6.55</v>
    <v>-5.1310000000000001E-3</v>
    <v>INR</v>
    <v>SBI Life Insurance Company Limited is an India-based company, which offers life insurance. The Company offers a suite of unit-linked products and solutions. The Company offers a range of individual plans, including online plans, savings plans, protection plans, wealth creation plans, retirement plans, child plans, money back/ income plans, and combo plans. Its group plans include Corporate Solutions Plans, Group Loan Protection Plans and Group Micro Insurance Plans. Its corporate solutions include retirement solutions, such as SBI Life- Kalyan ULIP Plus, SBI Life- Pradhan Mantri Jeevan Jyoti Bima Yojana, SBI Life- CapAssure Gold, SBI Life- Sampoorn Suraksha and SBI Life-Swarna Jeevan Plus. Its Group Loan Protection Plans include SBI Life-RiNn Raksha. Its Group Micro Insurance Plans include SBI Life- Grameen Super Suraksha. Its savings plans include SBI Life- Smart Future Choices, SBI Life- New Smart Samriddhi, SBI Life-Smart Bachat and SBI Life - Smart Platina Assure.</v>
    <v>18515</v>
    <v>National Stock Exchange of India</v>
    <v>XNSE</v>
    <v>XNSE</v>
    <v>'NATRAJ', M. V. Road and Western Express Highway Junction, Andheri (East), MUMBAI, MAHARASHTRA, 400069 IN</v>
    <v>1274.9000000000001</v>
    <v>Insurance</v>
    <v>Stock</v>
    <v>45100.194085648145</v>
    <v>1456</v>
    <v>1263.8</v>
    <v>1296201000000</v>
    <v>SBI LIFE INSURANCE COMPANY LIMITED</v>
    <v>SBI LIFE INSURANCE COMPANY LIMITED</v>
    <v>1271.2</v>
    <v>74.22</v>
    <v>1276.5</v>
    <v>1269.95</v>
    <v>1000966000</v>
    <v>SBILIFE</v>
    <v>SBI LIFE INSURANCE COMPANY LIMITED (XNSE:SBILIFE)</v>
    <v>156638</v>
    <v>1189420</v>
    <v>2000</v>
  </rv>
  <rv s="1">
    <v>1457</v>
  </rv>
  <rv s="2">
    <fb>1073.8499999999999</fb>
    <v>10</v>
  </rv>
  <rv s="2">
    <fb>1078.55</fb>
    <v>10</v>
  </rv>
  <rv s="2">
    <fb>1084.55</fb>
    <v>10</v>
  </rv>
  <rv s="2">
    <fb>1078.05</fb>
    <v>10</v>
  </rv>
  <rv s="2">
    <fb>1067.6500000000001</fb>
    <v>10</v>
  </rv>
  <rv s="2">
    <fb>1081.5999999999999</fb>
    <v>10</v>
  </rv>
  <rv s="2">
    <fb>1099.8499999999999</fb>
    <v>10</v>
  </rv>
  <rv s="2">
    <fb>1117.6500000000001</fb>
    <v>10</v>
  </rv>
  <rv s="2">
    <fb>1111</fb>
    <v>10</v>
  </rv>
  <rv s="2">
    <fb>1116.0999999999999</fb>
    <v>10</v>
  </rv>
  <rv s="2">
    <fb>1124.5999999999999</fb>
    <v>10</v>
  </rv>
  <rv s="2">
    <fb>1146.9000000000001</fb>
    <v>10</v>
  </rv>
  <rv s="2">
    <fb>1147.4000000000001</fb>
    <v>10</v>
  </rv>
  <rv s="2">
    <fb>1139.75</fb>
    <v>10</v>
  </rv>
  <rv s="2">
    <fb>1139.8499999999999</fb>
    <v>10</v>
  </rv>
  <rv s="2">
    <fb>1138.95</fb>
    <v>10</v>
  </rv>
  <rv s="2">
    <fb>1155.45</fb>
    <v>10</v>
  </rv>
  <rv s="2">
    <fb>1177.1500000000001</fb>
    <v>10</v>
  </rv>
  <rv s="2">
    <fb>1169.95</fb>
    <v>10</v>
  </rv>
  <rv s="2">
    <fb>1186.05</fb>
    <v>10</v>
  </rv>
  <rv s="2">
    <fb>1168.55</fb>
    <v>10</v>
  </rv>
  <rv s="2">
    <fb>1164.95</fb>
    <v>10</v>
  </rv>
  <rv s="2">
    <fb>1144.95</fb>
    <v>10</v>
  </rv>
  <rv s="2">
    <fb>1138.2</fb>
    <v>10</v>
  </rv>
  <rv s="2">
    <fb>1149.3499999999999</fb>
    <v>10</v>
  </rv>
  <rv s="2">
    <fb>1191.45</fb>
    <v>10</v>
  </rv>
  <rv s="2">
    <fb>1294.4000000000001</fb>
    <v>10</v>
  </rv>
  <rv s="2">
    <fb>1313.3</fb>
    <v>10</v>
  </rv>
  <rv s="2">
    <fb>1285.2</fb>
    <v>10</v>
  </rv>
  <rv s="2">
    <fb>1283.55</fb>
    <v>10</v>
  </rv>
  <rv s="2">
    <fb>1278.8</fb>
    <v>10</v>
  </rv>
  <rv s="2">
    <fb>1266.6500000000001</fb>
    <v>10</v>
  </rv>
  <rv s="2">
    <fb>1269.9000000000001</fb>
    <v>10</v>
  </rv>
  <rv s="2">
    <fb>1273.2</fb>
    <v>10</v>
  </rv>
  <rv s="2">
    <fb>1261.5</fb>
    <v>10</v>
  </rv>
  <rv s="2">
    <fb>1286.55</fb>
    <v>10</v>
  </rv>
  <rv s="2">
    <fb>1309.5999999999999</fb>
    <v>10</v>
  </rv>
  <rv s="2">
    <fb>1305.3499999999999</fb>
    <v>10</v>
  </rv>
  <rv s="2">
    <fb>1324.2</fb>
    <v>10</v>
  </rv>
  <rv s="2">
    <fb>1296.95</fb>
    <v>10</v>
  </rv>
  <rv s="2">
    <fb>1276</fb>
    <v>10</v>
  </rv>
  <rv s="2">
    <fb>1279.25</fb>
    <v>10</v>
  </rv>
  <rv s="2">
    <fb>1287.5</fb>
    <v>10</v>
  </rv>
  <rv s="2">
    <fb>1297</fb>
    <v>10</v>
  </rv>
  <rv s="2">
    <fb>1313.7</fb>
    <v>10</v>
  </rv>
  <rv s="2">
    <fb>1298.2</fb>
    <v>10</v>
  </rv>
  <rv s="2">
    <fb>1329.1</fb>
    <v>10</v>
  </rv>
  <rv s="2">
    <fb>1296.55</fb>
    <v>10</v>
  </rv>
  <rv s="2">
    <fb>1288.2</fb>
    <v>10</v>
  </rv>
  <rv s="2">
    <fb>1293.4000000000001</fb>
    <v>10</v>
  </rv>
  <rv s="2">
    <fb>1311.35</fb>
    <v>10</v>
  </rv>
  <rv s="2">
    <fb>1331.55</fb>
    <v>10</v>
  </rv>
  <rv s="2">
    <fb>1317.7</fb>
    <v>10</v>
  </rv>
  <rv s="2">
    <fb>1297.45</fb>
    <v>10</v>
  </rv>
  <rv s="2">
    <fb>1306</fb>
    <v>10</v>
  </rv>
  <rv s="2">
    <fb>1324.4</fb>
    <v>10</v>
  </rv>
  <rv s="2">
    <fb>1303.3</fb>
    <v>10</v>
  </rv>
  <rv s="2">
    <fb>1295</fb>
    <v>10</v>
  </rv>
  <rv s="2">
    <fb>1272.25</fb>
    <v>10</v>
  </rv>
  <rv s="2">
    <fb>1309.3</fb>
    <v>10</v>
  </rv>
  <rv s="2">
    <fb>1306.3</fb>
    <v>10</v>
  </rv>
  <rv s="2">
    <fb>1285.5</fb>
    <v>10</v>
  </rv>
  <rv s="2">
    <fb>1273</fb>
    <v>10</v>
  </rv>
  <rv s="2">
    <fb>1259.8</fb>
    <v>10</v>
  </rv>
  <rv s="2">
    <fb>1242.3</fb>
    <v>10</v>
  </rv>
  <rv s="2">
    <fb>1238.8</fb>
    <v>10</v>
  </rv>
  <rv s="2">
    <fb>1239.8</fb>
    <v>10</v>
  </rv>
  <rv s="2">
    <fb>1250.45</fb>
    <v>10</v>
  </rv>
  <rv s="2">
    <fb>1237.25</fb>
    <v>10</v>
  </rv>
  <rv s="2">
    <fb>1260.6500000000001</fb>
    <v>10</v>
  </rv>
  <rv s="2">
    <fb>1245.1500000000001</fb>
    <v>10</v>
  </rv>
  <rv s="2">
    <fb>1243.2</fb>
    <v>10</v>
  </rv>
  <rv s="2">
    <fb>1239.3</fb>
    <v>10</v>
  </rv>
  <rv s="2">
    <fb>1206.3499999999999</fb>
    <v>10</v>
  </rv>
  <rv s="2">
    <fb>1212.2</fb>
    <v>10</v>
  </rv>
  <rv s="2">
    <fb>1187.9000000000001</fb>
    <v>10</v>
  </rv>
  <rv s="2">
    <fb>1179.8</fb>
    <v>10</v>
  </rv>
  <rv s="2">
    <fb>1189.8</fb>
    <v>10</v>
  </rv>
  <rv s="2">
    <fb>1219.05</fb>
    <v>10</v>
  </rv>
  <rv s="2">
    <fb>1227.0999999999999</fb>
    <v>10</v>
  </rv>
  <rv s="2">
    <fb>1222.95</fb>
    <v>10</v>
  </rv>
  <rv s="2">
    <fb>1246.3499999999999</fb>
    <v>10</v>
  </rv>
  <rv s="2">
    <fb>1257.5999999999999</fb>
    <v>10</v>
  </rv>
  <rv s="2">
    <fb>1254.8499999999999</fb>
    <v>10</v>
  </rv>
  <rv s="2">
    <fb>1252.9000000000001</fb>
    <v>10</v>
  </rv>
  <rv s="2">
    <fb>1252.8</fb>
    <v>10</v>
  </rv>
  <rv s="2">
    <fb>1265.95</fb>
    <v>10</v>
  </rv>
  <rv s="2">
    <fb>1268.75</fb>
    <v>10</v>
  </rv>
  <rv s="2">
    <fb>1272.6500000000001</fb>
    <v>10</v>
  </rv>
  <rv s="2">
    <fb>1276.05</fb>
    <v>10</v>
  </rv>
  <rv s="2">
    <fb>1265.5999999999999</fb>
    <v>10</v>
  </rv>
  <rv s="2">
    <fb>1278.6500000000001</fb>
    <v>10</v>
  </rv>
  <rv s="2">
    <fb>1263.8</fb>
    <v>10</v>
  </rv>
  <rv s="2">
    <fb>1238.3499999999999</fb>
    <v>10</v>
  </rv>
  <rv s="2">
    <fb>1250.25</fb>
    <v>10</v>
  </rv>
  <rv s="2">
    <fb>1248.5999999999999</fb>
    <v>10</v>
  </rv>
  <rv s="2">
    <fb>1259.3</fb>
    <v>10</v>
  </rv>
  <rv s="2">
    <fb>1254.9000000000001</fb>
    <v>10</v>
  </rv>
  <rv s="2">
    <fb>1254.3499999999999</fb>
    <v>10</v>
  </rv>
  <rv s="2">
    <fb>1242.75</fb>
    <v>10</v>
  </rv>
  <rv s="2">
    <fb>1226.5999999999999</fb>
    <v>10</v>
  </rv>
  <rv s="2">
    <fb>1229.05</fb>
    <v>10</v>
  </rv>
  <rv s="2">
    <fb>1226.3</fb>
    <v>10</v>
  </rv>
  <rv s="2">
    <fb>1240.6500000000001</fb>
    <v>10</v>
  </rv>
  <rv s="2">
    <fb>1235.25</fb>
    <v>10</v>
  </rv>
  <rv s="2">
    <fb>1253.5</fb>
    <v>10</v>
  </rv>
  <rv s="2">
    <fb>1258.4000000000001</fb>
    <v>10</v>
  </rv>
  <rv s="2">
    <fb>1282.9000000000001</fb>
    <v>10</v>
  </rv>
  <rv s="2">
    <fb>1290.75</fb>
    <v>10</v>
  </rv>
  <rv s="2">
    <fb>1295.1500000000001</fb>
    <v>10</v>
  </rv>
  <rv s="2">
    <fb>1284.55</fb>
    <v>10</v>
  </rv>
  <rv s="2">
    <fb>1285.0999999999999</fb>
    <v>10</v>
  </rv>
  <rv s="2">
    <fb>1262.05</fb>
    <v>10</v>
  </rv>
  <rv s="2">
    <fb>1266.8499999999999</fb>
    <v>10</v>
  </rv>
  <rv s="2">
    <fb>1269.6500000000001</fb>
    <v>10</v>
  </rv>
  <rv s="2">
    <fb>1263.2</fb>
    <v>10</v>
  </rv>
  <rv s="2">
    <fb>1277.8</fb>
    <v>10</v>
  </rv>
  <rv s="2">
    <fb>1269.75</fb>
    <v>10</v>
  </rv>
  <rv s="2">
    <fb>1273.5</fb>
    <v>10</v>
  </rv>
  <rv s="2">
    <fb>1254.1500000000001</fb>
    <v>10</v>
  </rv>
  <rv s="2">
    <fb>1267.5</fb>
    <v>10</v>
  </rv>
  <rv s="2">
    <fb>1231.25</fb>
    <v>10</v>
  </rv>
  <rv s="2">
    <fb>1234.3499999999999</fb>
    <v>10</v>
  </rv>
  <rv s="2">
    <fb>1244.75</fb>
    <v>10</v>
  </rv>
  <rv s="2">
    <fb>1224.5999999999999</fb>
    <v>10</v>
  </rv>
  <rv s="2">
    <fb>1243.3</fb>
    <v>10</v>
  </rv>
  <rv s="2">
    <fb>1241.05</fb>
    <v>10</v>
  </rv>
  <rv s="2">
    <fb>1242.05</fb>
    <v>10</v>
  </rv>
  <rv s="2">
    <fb>1258.5999999999999</fb>
    <v>10</v>
  </rv>
  <rv s="2">
    <fb>1231.3</fb>
    <v>10</v>
  </rv>
  <rv s="2">
    <fb>1240.05</fb>
    <v>10</v>
  </rv>
  <rv s="2">
    <fb>1268.4000000000001</fb>
    <v>10</v>
  </rv>
  <rv s="2">
    <fb>1259.05</fb>
    <v>10</v>
  </rv>
  <rv s="2">
    <fb>1267.6500000000001</fb>
    <v>10</v>
  </rv>
  <rv s="2">
    <fb>1269.05</fb>
    <v>10</v>
  </rv>
  <rv s="2">
    <fb>1306.3499999999999</fb>
    <v>10</v>
  </rv>
  <rv s="2">
    <fb>1302.5999999999999</fb>
    <v>10</v>
  </rv>
  <rv s="2">
    <fb>1291.3</fb>
    <v>10</v>
  </rv>
  <rv s="2">
    <fb>1315.7</fb>
    <v>10</v>
  </rv>
  <rv s="2">
    <fb>1312.95</fb>
    <v>10</v>
  </rv>
  <rv s="2">
    <fb>1300.9000000000001</fb>
    <v>10</v>
  </rv>
  <rv s="2">
    <fb>1298.45</fb>
    <v>10</v>
  </rv>
  <rv s="2">
    <fb>1310.6500000000001</fb>
    <v>10</v>
  </rv>
  <rv s="2">
    <fb>1323.1</fb>
    <v>10</v>
  </rv>
  <rv s="2">
    <fb>1296.0999999999999</fb>
    <v>10</v>
  </rv>
  <rv s="2">
    <fb>1295.4000000000001</fb>
    <v>10</v>
  </rv>
  <rv s="2">
    <fb>1273.25</fb>
    <v>10</v>
  </rv>
  <rv s="2">
    <fb>1257.45</fb>
    <v>10</v>
  </rv>
  <rv s="2">
    <fb>1233.45</fb>
    <v>10</v>
  </rv>
  <rv s="2">
    <fb>1219.55</fb>
    <v>10</v>
  </rv>
  <rv s="2">
    <fb>1109.4000000000001</fb>
    <v>10</v>
  </rv>
  <rv s="2">
    <fb>1107.5</fb>
    <v>10</v>
  </rv>
  <rv s="2">
    <fb>1138.05</fb>
    <v>10</v>
  </rv>
  <rv s="2">
    <fb>1138.4000000000001</fb>
    <v>10</v>
  </rv>
  <rv s="2">
    <fb>1131.75</fb>
    <v>10</v>
  </rv>
  <rv s="2">
    <fb>1164.5</fb>
    <v>10</v>
  </rv>
  <rv s="2">
    <fb>1180.45</fb>
    <v>10</v>
  </rv>
  <rv s="2">
    <fb>1184.5</fb>
    <v>10</v>
  </rv>
  <rv s="2">
    <fb>1179.0999999999999</fb>
    <v>10</v>
  </rv>
  <rv s="2">
    <fb>1161.7</fb>
    <v>10</v>
  </rv>
  <rv s="2">
    <fb>1180.3499999999999</fb>
    <v>10</v>
  </rv>
  <rv s="2">
    <fb>1174.0999999999999</fb>
    <v>10</v>
  </rv>
  <rv s="2">
    <fb>1149.7</fb>
    <v>10</v>
  </rv>
  <rv s="2">
    <fb>1158.4000000000001</fb>
    <v>10</v>
  </rv>
  <rv s="2">
    <fb>1150.3499999999999</fb>
    <v>10</v>
  </rv>
  <rv s="2">
    <fb>1131.1500000000001</fb>
    <v>10</v>
  </rv>
  <rv s="2">
    <fb>1135.4000000000001</fb>
    <v>10</v>
  </rv>
  <rv s="2">
    <fb>1122.05</fb>
    <v>10</v>
  </rv>
  <rv s="2">
    <fb>1129.1500000000001</fb>
    <v>10</v>
  </rv>
  <rv s="2">
    <fb>1121</fb>
    <v>10</v>
  </rv>
  <rv s="2">
    <fb>1118.1500000000001</fb>
    <v>10</v>
  </rv>
  <rv s="2">
    <fb>1100.1500000000001</fb>
    <v>10</v>
  </rv>
  <rv s="2">
    <fb>1129.25</fb>
    <v>10</v>
  </rv>
  <rv s="2">
    <fb>1128.7</fb>
    <v>10</v>
  </rv>
  <rv s="2">
    <fb>1129.2</fb>
    <v>10</v>
  </rv>
  <rv s="2">
    <fb>1096.7</fb>
    <v>10</v>
  </rv>
  <rv s="2">
    <fb>1095.9000000000001</fb>
    <v>10</v>
  </rv>
  <rv s="2">
    <fb>1072.5</fb>
    <v>10</v>
  </rv>
  <rv s="2">
    <fb>1077.0999999999999</fb>
    <v>10</v>
  </rv>
  <rv s="2">
    <fb>1067.05</fb>
    <v>10</v>
  </rv>
  <rv s="2">
    <fb>1062.6500000000001</fb>
    <v>10</v>
  </rv>
  <rv s="2">
    <fb>1071.5999999999999</fb>
    <v>10</v>
  </rv>
  <rv s="2">
    <fb>1074.0999999999999</fb>
    <v>10</v>
  </rv>
  <rv s="2">
    <fb>1097.7</fb>
    <v>10</v>
  </rv>
  <rv s="2">
    <fb>1113.0999999999999</fb>
    <v>10</v>
  </rv>
  <rv s="2">
    <fb>1118.6500000000001</fb>
    <v>10</v>
  </rv>
  <rv s="2">
    <fb>1112.2</fb>
    <v>10</v>
  </rv>
  <rv s="2">
    <fb>1099.3</fb>
    <v>10</v>
  </rv>
  <rv s="2">
    <fb>1091.3</fb>
    <v>10</v>
  </rv>
  <rv s="2">
    <fb>1098.7</fb>
    <v>10</v>
  </rv>
  <rv s="2">
    <fb>1101.0999999999999</fb>
    <v>10</v>
  </rv>
  <rv s="2">
    <fb>1103.8</fb>
    <v>10</v>
  </rv>
  <rv s="2">
    <fb>1105.55</fb>
    <v>10</v>
  </rv>
  <rv s="2">
    <fb>1116.25</fb>
    <v>10</v>
  </rv>
  <rv s="2">
    <fb>1106.25</fb>
    <v>10</v>
  </rv>
  <rv s="2">
    <fb>1112.6500000000001</fb>
    <v>10</v>
  </rv>
  <rv s="2">
    <fb>1126.8499999999999</fb>
    <v>10</v>
  </rv>
  <rv s="2">
    <fb>1130.25</fb>
    <v>10</v>
  </rv>
  <rv s="2">
    <fb>1145.3499999999999</fb>
    <v>10</v>
  </rv>
  <rv s="2">
    <fb>1145.55</fb>
    <v>10</v>
  </rv>
  <rv s="2">
    <fb>1123.4000000000001</fb>
    <v>10</v>
  </rv>
  <rv s="2">
    <fb>1128.8499999999999</fb>
    <v>10</v>
  </rv>
  <rv s="2">
    <fb>1106.55</fb>
    <v>10</v>
  </rv>
  <rv s="2">
    <fb>1105.7</fb>
    <v>10</v>
  </rv>
  <rv s="2">
    <fb>1105.8499999999999</fb>
    <v>10</v>
  </rv>
  <rv s="2">
    <fb>1118.3</fb>
    <v>10</v>
  </rv>
  <rv s="2">
    <fb>1137.05</fb>
    <v>10</v>
  </rv>
  <rv s="2">
    <fb>1140.0999999999999</fb>
    <v>10</v>
  </rv>
  <rv s="2">
    <fb>1150.9000000000001</fb>
    <v>10</v>
  </rv>
  <rv s="2">
    <fb>1136.9000000000001</fb>
    <v>10</v>
  </rv>
  <rv s="2">
    <fb>1167.45</fb>
    <v>10</v>
  </rv>
  <rv s="2">
    <fb>1173.7</fb>
    <v>10</v>
  </rv>
  <rv s="2">
    <fb>1182.3499999999999</fb>
    <v>10</v>
  </rv>
  <rv s="2">
    <fb>1183.1500000000001</fb>
    <v>10</v>
  </rv>
  <rv s="2">
    <fb>1188.8</fb>
    <v>10</v>
  </rv>
  <rv s="2">
    <fb>1185.4000000000001</fb>
    <v>10</v>
  </rv>
  <rv s="2">
    <fb>1187.05</fb>
    <v>10</v>
  </rv>
  <rv s="2">
    <fb>1189.45</fb>
    <v>10</v>
  </rv>
  <rv s="2">
    <fb>1180.75</fb>
    <v>10</v>
  </rv>
  <rv s="2">
    <fb>1162.5999999999999</fb>
    <v>10</v>
  </rv>
  <rv s="2">
    <fb>1152.7</fb>
    <v>10</v>
  </rv>
  <rv s="2">
    <fb>1154.1500000000001</fb>
    <v>10</v>
  </rv>
  <rv s="2">
    <fb>1150.8</fb>
    <v>10</v>
  </rv>
  <rv s="2">
    <fb>1165.5999999999999</fb>
    <v>10</v>
  </rv>
  <rv s="2">
    <fb>1175.3499999999999</fb>
    <v>10</v>
  </rv>
  <rv s="2">
    <fb>1177.3499999999999</fb>
    <v>10</v>
  </rv>
  <rv s="2">
    <fb>1195.75</fb>
    <v>10</v>
  </rv>
  <rv s="2">
    <fb>1218.0999999999999</fb>
    <v>10</v>
  </rv>
  <rv s="2">
    <fb>1215.9000000000001</fb>
    <v>10</v>
  </rv>
  <rv s="2">
    <fb>1235</fb>
    <v>10</v>
  </rv>
  <rv s="2">
    <fb>1207.75</fb>
    <v>10</v>
  </rv>
  <rv s="2">
    <fb>1202.5</fb>
    <v>10</v>
  </rv>
  <rv s="2">
    <fb>1215.4000000000001</fb>
    <v>10</v>
  </rv>
  <rv s="2">
    <fb>1223</fb>
    <v>10</v>
  </rv>
  <rv s="2">
    <fb>1245.8</fb>
    <v>10</v>
  </rv>
  <rv s="2">
    <fb>1238.9000000000001</fb>
    <v>10</v>
  </rv>
  <rv s="2">
    <fb>1232.4000000000001</fb>
    <v>10</v>
  </rv>
  <rv s="2">
    <fb>1241.0999999999999</fb>
    <v>10</v>
  </rv>
  <rv s="2">
    <fb>1281.3499999999999</fb>
    <v>10</v>
  </rv>
  <rv s="2">
    <fb>1280.5</fb>
    <v>10</v>
  </rv>
  <rv s="2">
    <fb>1295.3499999999999</fb>
    <v>10</v>
  </rv>
  <rv s="2">
    <fb>1294.95</fb>
    <v>10</v>
  </rv>
  <rv s="2">
    <fb>1276.5</fb>
    <v>10</v>
  </rv>
  <rv s="3">
    <v>https://www.bing.com/financeapi/forcetrigger?t=ahko5r&amp;q=XNSE%3aWHIRLPOOL&amp;form=skydnc</v>
    <v>Learn more on Bing</v>
  </rv>
  <rv s="4">
    <v>en-IN</v>
    <v>ahko5r</v>
    <v>268435456</v>
    <v>1</v>
    <v>Powered by Refinitiv</v>
    <v>6</v>
    <v>WHIRLPOOL OF INDIA LIMITED (XNSE:WHIRLPOOL)</v>
    <v>7</v>
    <v>8</v>
    <v>Finance</v>
    <v>9</v>
    <v>1905</v>
    <v>1217.25</v>
    <v>0.8427</v>
    <v>-15.7</v>
    <v>-1.0727E-2</v>
    <v>INR</v>
    <v>Whirlpool of India Limited is an India-based manufacturers and marketers of various home appliances. The Company is primarily engaged in manufacturing and trading of refrigerators, washing machines, air conditioners, dishwashers, purifiers, accessories, microwave ovens, built-in and small appliances and caters to both domestic and international markets. It also provides services in the area of product development and procurement services to Whirlpool Corporation, United States and other group companies. Its refrigerators include single door refrigerators, double door refrigerators, three door refrigerators, bottom mount refrigerators, side by side refrigerators and four door refrigerators. Its washing machines include semi automatic washing machines, top load washing machines and front load washing machines. In the air conditioners category, it offers split air-conditioners. It offers microwave ovens, such as convection microwave ovens, grill microwave ovens and solo microwave ovens.</v>
    <v>2668</v>
    <v>National Stock Exchange of India</v>
    <v>XNSE</v>
    <v>XNSE</v>
    <v>Whirpool House, Plot No. 40, Sector 44, GURGAON, HARYANA, 122002 IN</v>
    <v>1461.6</v>
    <v>Household Goods</v>
    <v>Stock</v>
    <v>45100.194027777776</v>
    <v>1702</v>
    <v>1435</v>
    <v>186590400000</v>
    <v>WHIRLPOOL OF INDIA LIMITED</v>
    <v>WHIRLPOOL OF INDIA LIMITED</v>
    <v>1460</v>
    <v>83.97</v>
    <v>1463.65</v>
    <v>1447.95</v>
    <v>126871800</v>
    <v>WHIRLPOOL</v>
    <v>WHIRLPOOL OF INDIA LIMITED (XNSE:WHIRLPOOL)</v>
    <v>10899</v>
    <v>48290</v>
    <v>1960</v>
  </rv>
  <rv s="1">
    <v>1703</v>
  </rv>
  <rv s="2">
    <fb>1475.9</fb>
    <v>10</v>
  </rv>
  <rv s="2">
    <fb>1520.7</fb>
    <v>10</v>
  </rv>
  <rv s="2">
    <fb>1542.4</fb>
    <v>10</v>
  </rv>
  <rv s="2">
    <fb>1537.5</fb>
    <v>10</v>
  </rv>
  <rv s="2">
    <fb>1561.75</fb>
    <v>10</v>
  </rv>
  <rv s="2">
    <fb>1560.85</fb>
    <v>10</v>
  </rv>
  <rv s="2">
    <fb>1553.4</fb>
    <v>10</v>
  </rv>
  <rv s="2">
    <fb>1556</fb>
    <v>10</v>
  </rv>
  <rv s="2">
    <fb>1550.4</fb>
    <v>10</v>
  </rv>
  <rv s="2">
    <fb>1612.6</fb>
    <v>10</v>
  </rv>
  <rv s="2">
    <fb>1664.4</fb>
    <v>10</v>
  </rv>
  <rv s="2">
    <fb>1658.6</fb>
    <v>10</v>
  </rv>
  <rv s="2">
    <fb>1669.6</fb>
    <v>10</v>
  </rv>
  <rv s="2">
    <fb>1647.4</fb>
    <v>10</v>
  </rv>
  <rv s="2">
    <fb>1641.9</fb>
    <v>10</v>
  </rv>
  <rv s="2">
    <fb>1671.05</fb>
    <v>10</v>
  </rv>
  <rv s="2">
    <fb>1692.8</fb>
    <v>10</v>
  </rv>
  <rv s="2">
    <fb>1688.4</fb>
    <v>10</v>
  </rv>
  <rv s="2">
    <fb>1689.65</fb>
    <v>10</v>
  </rv>
  <rv s="2">
    <fb>1695.35</fb>
    <v>10</v>
  </rv>
  <rv s="2">
    <fb>1710.05</fb>
    <v>10</v>
  </rv>
  <rv s="2">
    <fb>1738.7</fb>
    <v>10</v>
  </rv>
  <rv s="2">
    <fb>1727.75</fb>
    <v>10</v>
  </rv>
  <rv s="2">
    <fb>1731.9</fb>
    <v>10</v>
  </rv>
  <rv s="2">
    <fb>1765.2</fb>
    <v>10</v>
  </rv>
  <rv s="2">
    <fb>1781.1</fb>
    <v>10</v>
  </rv>
  <rv s="2">
    <fb>1773.4</fb>
    <v>10</v>
  </rv>
  <rv s="2">
    <fb>1783.1</fb>
    <v>10</v>
  </rv>
  <rv s="2">
    <fb>1783.6</fb>
    <v>10</v>
  </rv>
  <rv s="2">
    <fb>1786.05</fb>
    <v>10</v>
  </rv>
  <rv s="2">
    <fb>1789.5</fb>
    <v>10</v>
  </rv>
  <rv s="2">
    <fb>1787.4</fb>
    <v>10</v>
  </rv>
  <rv s="2">
    <fb>1802.45</fb>
    <v>10</v>
  </rv>
  <rv s="2">
    <fb>1794.45</fb>
    <v>10</v>
  </rv>
  <rv s="2">
    <fb>1798.5</fb>
    <v>10</v>
  </rv>
  <rv s="2">
    <fb>1786.15</fb>
    <v>10</v>
  </rv>
  <rv s="2">
    <fb>1790.6</fb>
    <v>10</v>
  </rv>
  <rv s="2">
    <fb>1815.7</fb>
    <v>10</v>
  </rv>
  <rv s="2">
    <fb>1818.35</fb>
    <v>10</v>
  </rv>
  <rv s="2">
    <fb>1838.6</fb>
    <v>10</v>
  </rv>
  <rv s="2">
    <fb>1763.95</fb>
    <v>10</v>
  </rv>
  <rv s="2">
    <fb>1797.35</fb>
    <v>10</v>
  </rv>
  <rv s="2">
    <fb>1792.65</fb>
    <v>10</v>
  </rv>
  <rv s="2">
    <fb>1838.7</fb>
    <v>10</v>
  </rv>
  <rv s="2">
    <fb>1816.5</fb>
    <v>10</v>
  </rv>
  <rv s="2">
    <fb>1798.45</fb>
    <v>10</v>
  </rv>
  <rv s="2">
    <fb>1824.15</fb>
    <v>10</v>
  </rv>
  <rv s="2">
    <fb>1819.1</fb>
    <v>10</v>
  </rv>
  <rv s="2">
    <fb>1793.4</fb>
    <v>10</v>
  </rv>
  <rv s="2">
    <fb>1790.95</fb>
    <v>10</v>
  </rv>
  <rv s="2">
    <fb>1799.35</fb>
    <v>10</v>
  </rv>
  <rv s="2">
    <fb>1817.15</fb>
    <v>10</v>
  </rv>
  <rv s="2">
    <fb>1802.9</fb>
    <v>10</v>
  </rv>
  <rv s="2">
    <fb>1754.3</fb>
    <v>10</v>
  </rv>
  <rv s="2">
    <fb>1752.55</fb>
    <v>10</v>
  </rv>
  <rv s="2">
    <fb>1770.65</fb>
    <v>10</v>
  </rv>
  <rv s="2">
    <fb>1759.55</fb>
    <v>10</v>
  </rv>
  <rv s="2">
    <fb>1745.95</fb>
    <v>10</v>
  </rv>
  <rv s="2">
    <fb>1713.45</fb>
    <v>10</v>
  </rv>
  <rv s="2">
    <fb>1709.95</fb>
    <v>10</v>
  </rv>
  <rv s="2">
    <fb>1737.6</fb>
    <v>10</v>
  </rv>
  <rv s="2">
    <fb>1699.5</fb>
    <v>10</v>
  </rv>
  <rv s="2">
    <fb>1686.3</fb>
    <v>10</v>
  </rv>
  <rv s="2">
    <fb>1655.7</fb>
    <v>10</v>
  </rv>
  <rv s="2">
    <fb>1632.55</fb>
    <v>10</v>
  </rv>
  <rv s="2">
    <fb>1623.15</fb>
    <v>10</v>
  </rv>
  <rv s="2">
    <fb>1633.9</fb>
    <v>10</v>
  </rv>
  <rv s="2">
    <fb>1640.55</fb>
    <v>10</v>
  </rv>
  <rv s="2">
    <fb>1634.5</fb>
    <v>10</v>
  </rv>
  <rv s="2">
    <fb>1620.7</fb>
    <v>10</v>
  </rv>
  <rv s="2">
    <fb>1651.25</fb>
    <v>10</v>
  </rv>
  <rv s="2">
    <fb>1656</fb>
    <v>10</v>
  </rv>
  <rv s="2">
    <fb>1646.45</fb>
    <v>10</v>
  </rv>
  <rv s="2">
    <fb>1647.35</fb>
    <v>10</v>
  </rv>
  <rv s="2">
    <fb>1622.65</fb>
    <v>10</v>
  </rv>
  <rv s="2">
    <fb>1596.9</fb>
    <v>10</v>
  </rv>
  <rv s="2">
    <fb>1579.5</fb>
    <v>10</v>
  </rv>
  <rv s="2">
    <fb>1566.2</fb>
    <v>10</v>
  </rv>
  <rv s="2">
    <fb>1556.1</fb>
    <v>10</v>
  </rv>
  <rv s="2">
    <fb>1600.65</fb>
    <v>10</v>
  </rv>
  <rv s="2">
    <fb>1622.15</fb>
    <v>10</v>
  </rv>
  <rv s="2">
    <fb>1645.65</fb>
    <v>10</v>
  </rv>
  <rv s="2">
    <fb>1593.2</fb>
    <v>10</v>
  </rv>
  <rv s="2">
    <fb>1607.7</fb>
    <v>10</v>
  </rv>
  <rv s="2">
    <fb>1561.85</fb>
    <v>10</v>
  </rv>
  <rv s="2">
    <fb>1582.25</fb>
    <v>10</v>
  </rv>
  <rv s="2">
    <fb>1565.05</fb>
    <v>10</v>
  </rv>
  <rv s="2">
    <fb>1575.45</fb>
    <v>10</v>
  </rv>
  <rv s="2">
    <fb>1564.55</fb>
    <v>10</v>
  </rv>
  <rv s="2">
    <fb>1544.55</fb>
    <v>10</v>
  </rv>
  <rv s="2">
    <fb>1518.95</fb>
    <v>10</v>
  </rv>
  <rv s="2">
    <fb>1520.2</fb>
    <v>10</v>
  </rv>
  <rv s="2">
    <fb>1527.65</fb>
    <v>10</v>
  </rv>
  <rv s="2">
    <fb>1503.3</fb>
    <v>10</v>
  </rv>
  <rv s="2">
    <fb>1515.35</fb>
    <v>10</v>
  </rv>
  <rv s="2">
    <fb>1530.55</fb>
    <v>10</v>
  </rv>
  <rv s="2">
    <fb>1529</fb>
    <v>10</v>
  </rv>
  <rv s="2">
    <fb>1525.75</fb>
    <v>10</v>
  </rv>
  <rv s="2">
    <fb>1522.35</fb>
    <v>10</v>
  </rv>
  <rv s="2">
    <fb>1526.6</fb>
    <v>10</v>
  </rv>
  <rv s="2">
    <fb>1522.7</fb>
    <v>10</v>
  </rv>
  <rv s="2">
    <fb>1497</fb>
    <v>10</v>
  </rv>
  <rv s="2">
    <fb>1497.7</fb>
    <v>10</v>
  </rv>
  <rv s="2">
    <fb>1492.3</fb>
    <v>10</v>
  </rv>
  <rv s="2">
    <fb>1487.2</fb>
    <v>10</v>
  </rv>
  <rv s="2">
    <fb>1511.45</fb>
    <v>10</v>
  </rv>
  <rv s="2">
    <fb>1519.7</fb>
    <v>10</v>
  </rv>
  <rv s="2">
    <fb>1526.05</fb>
    <v>10</v>
  </rv>
  <rv s="2">
    <fb>1522.85</fb>
    <v>10</v>
  </rv>
  <rv s="2">
    <fb>1536</fb>
    <v>10</v>
  </rv>
  <rv s="2">
    <fb>1529.55</fb>
    <v>10</v>
  </rv>
  <rv s="2">
    <fb>1525.6</fb>
    <v>10</v>
  </rv>
  <rv s="2">
    <fb>1512.55</fb>
    <v>10</v>
  </rv>
  <rv s="2">
    <fb>1523.3</fb>
    <v>10</v>
  </rv>
  <rv s="2">
    <fb>1516.8</fb>
    <v>10</v>
  </rv>
  <rv s="2">
    <fb>1508.55</fb>
    <v>10</v>
  </rv>
  <rv s="2">
    <fb>1515.05</fb>
    <v>10</v>
  </rv>
  <rv s="2">
    <fb>1509.5</fb>
    <v>10</v>
  </rv>
  <rv s="2">
    <fb>1500.15</fb>
    <v>10</v>
  </rv>
  <rv s="2">
    <fb>1488.3</fb>
    <v>10</v>
  </rv>
  <rv s="2">
    <fb>1496.4</fb>
    <v>10</v>
  </rv>
  <rv s="2">
    <fb>1507.45</fb>
    <v>10</v>
  </rv>
  <rv s="2">
    <fb>1495.75</fb>
    <v>10</v>
  </rv>
  <rv s="2">
    <fb>1488.9</fb>
    <v>10</v>
  </rv>
  <rv s="2">
    <fb>1474.65</fb>
    <v>10</v>
  </rv>
  <rv s="2">
    <fb>1485.85</fb>
    <v>10</v>
  </rv>
  <rv s="2">
    <fb>1487.65</fb>
    <v>10</v>
  </rv>
  <rv s="2">
    <fb>1488.8</fb>
    <v>10</v>
  </rv>
  <rv s="2">
    <fb>1484.85</fb>
    <v>10</v>
  </rv>
  <rv s="2">
    <fb>1497.1</fb>
    <v>10</v>
  </rv>
  <rv s="2">
    <fb>1496.05</fb>
    <v>10</v>
  </rv>
  <rv s="2">
    <fb>1515.5</fb>
    <v>10</v>
  </rv>
  <rv s="2">
    <fb>1505.75</fb>
    <v>10</v>
  </rv>
  <rv s="2">
    <fb>1512.15</fb>
    <v>10</v>
  </rv>
  <rv s="2">
    <fb>1501</fb>
    <v>10</v>
  </rv>
  <rv s="2">
    <fb>1492.75</fb>
    <v>10</v>
  </rv>
  <rv s="2">
    <fb>1486.1</fb>
    <v>10</v>
  </rv>
  <rv s="2">
    <fb>1482.65</fb>
    <v>10</v>
  </rv>
  <rv s="2">
    <fb>1480.7</fb>
    <v>10</v>
  </rv>
  <rv s="2">
    <fb>1448.4</fb>
    <v>10</v>
  </rv>
  <rv s="2">
    <fb>1475.45</fb>
    <v>10</v>
  </rv>
  <rv s="2">
    <fb>1440.85</fb>
    <v>10</v>
  </rv>
  <rv s="2">
    <fb>1440.4</fb>
    <v>10</v>
  </rv>
  <rv s="2">
    <fb>1423.9</fb>
    <v>10</v>
  </rv>
  <rv s="2">
    <fb>1428.95</fb>
    <v>10</v>
  </rv>
  <rv s="2">
    <fb>1429.85</fb>
    <v>10</v>
  </rv>
  <rv s="2">
    <fb>1409.7</fb>
    <v>10</v>
  </rv>
  <rv s="2">
    <fb>1392.4</fb>
    <v>10</v>
  </rv>
  <rv s="2">
    <fb>1412.75</fb>
    <v>10</v>
  </rv>
  <rv s="2">
    <fb>1391.1</fb>
    <v>10</v>
  </rv>
  <rv s="2">
    <fb>1344.5</fb>
    <v>10</v>
  </rv>
  <rv s="2">
    <fb>1260.0999999999999</fb>
    <v>10</v>
  </rv>
  <rv s="2">
    <fb>1260.8</fb>
    <v>10</v>
  </rv>
  <rv s="2">
    <fb>1262.9000000000001</fb>
    <v>10</v>
  </rv>
  <rv s="2">
    <fb>1253.8499999999999</fb>
    <v>10</v>
  </rv>
  <rv s="2">
    <fb>1278.3</fb>
    <v>10</v>
  </rv>
  <rv s="2">
    <fb>1282.6500000000001</fb>
    <v>10</v>
  </rv>
  <rv s="2">
    <fb>1291.8</fb>
    <v>10</v>
  </rv>
  <rv s="2">
    <fb>1290.05</fb>
    <v>10</v>
  </rv>
  <rv s="2">
    <fb>1284.75</fb>
    <v>10</v>
  </rv>
  <rv s="2">
    <fb>1306.75</fb>
    <v>10</v>
  </rv>
  <rv s="2">
    <fb>1308.3499999999999</fb>
    <v>10</v>
  </rv>
  <rv s="2">
    <fb>1286.7</fb>
    <v>10</v>
  </rv>
  <rv s="2">
    <fb>1296.7</fb>
    <v>10</v>
  </rv>
  <rv s="2">
    <fb>1297.95</fb>
    <v>10</v>
  </rv>
  <rv s="2">
    <fb>1279.05</fb>
    <v>10</v>
  </rv>
  <rv s="2">
    <fb>1269.55</fb>
    <v>10</v>
  </rv>
  <rv s="2">
    <fb>1321</fb>
    <v>10</v>
  </rv>
  <rv s="2">
    <fb>1310.3</fb>
    <v>10</v>
  </rv>
  <rv s="2">
    <fb>1304.25</fb>
    <v>10</v>
  </rv>
  <rv s="2">
    <fb>1305.4000000000001</fb>
    <v>10</v>
  </rv>
  <rv s="2">
    <fb>1310.7</fb>
    <v>10</v>
  </rv>
  <rv s="2">
    <fb>1320.85</fb>
    <v>10</v>
  </rv>
  <rv s="2">
    <fb>1339.7</fb>
    <v>10</v>
  </rv>
  <rv s="2">
    <fb>1363.4</fb>
    <v>10</v>
  </rv>
  <rv s="2">
    <fb>1363.65</fb>
    <v>10</v>
  </rv>
  <rv s="2">
    <fb>1354.4</fb>
    <v>10</v>
  </rv>
  <rv s="2">
    <fb>1315.15</fb>
    <v>10</v>
  </rv>
  <rv s="2">
    <fb>1324.65</fb>
    <v>10</v>
  </rv>
  <rv s="2">
    <fb>1339.8</fb>
    <v>10</v>
  </rv>
  <rv s="2">
    <fb>1340.9</fb>
    <v>10</v>
  </rv>
  <rv s="2">
    <fb>1363</fb>
    <v>10</v>
  </rv>
  <rv s="2">
    <fb>1342.45</fb>
    <v>10</v>
  </rv>
  <rv s="2">
    <fb>1340.2</fb>
    <v>10</v>
  </rv>
  <rv s="2">
    <fb>1347.15</fb>
    <v>10</v>
  </rv>
  <rv s="2">
    <fb>1340.7</fb>
    <v>10</v>
  </rv>
  <rv s="2">
    <fb>1334.6</fb>
    <v>10</v>
  </rv>
  <rv s="2">
    <fb>1330.2</fb>
    <v>10</v>
  </rv>
  <rv s="2">
    <fb>1323.05</fb>
    <v>10</v>
  </rv>
  <rv s="2">
    <fb>1294.2</fb>
    <v>10</v>
  </rv>
  <rv s="2">
    <fb>1315.05</fb>
    <v>10</v>
  </rv>
  <rv s="2">
    <fb>1326.75</fb>
    <v>10</v>
  </rv>
  <rv s="2">
    <fb>1325.25</fb>
    <v>10</v>
  </rv>
  <rv s="2">
    <fb>1328.65</fb>
    <v>10</v>
  </rv>
  <rv s="2">
    <fb>1326.85</fb>
    <v>10</v>
  </rv>
  <rv s="2">
    <fb>1317</fb>
    <v>10</v>
  </rv>
  <rv s="2">
    <fb>1311.45</fb>
    <v>10</v>
  </rv>
  <rv s="2">
    <fb>1337.1</fb>
    <v>10</v>
  </rv>
  <rv s="2">
    <fb>1329.7</fb>
    <v>10</v>
  </rv>
  <rv s="2">
    <fb>1328.1</fb>
    <v>10</v>
  </rv>
  <rv s="2">
    <fb>1327.7</fb>
    <v>10</v>
  </rv>
  <rv s="2">
    <fb>1322.95</fb>
    <v>10</v>
  </rv>
  <rv s="2">
    <fb>1322.2</fb>
    <v>10</v>
  </rv>
  <rv s="2">
    <fb>1321.95</fb>
    <v>10</v>
  </rv>
  <rv s="2">
    <fb>1325.2</fb>
    <v>10</v>
  </rv>
  <rv s="2">
    <fb>1320.7</fb>
    <v>10</v>
  </rv>
  <rv s="2">
    <fb>1315.55</fb>
    <v>10</v>
  </rv>
  <rv s="2">
    <fb>1316.85</fb>
    <v>10</v>
  </rv>
  <rv s="2">
    <fb>1335.05</fb>
    <v>10</v>
  </rv>
  <rv s="2">
    <fb>1341.5</fb>
    <v>10</v>
  </rv>
  <rv s="2">
    <fb>1325.65</fb>
    <v>10</v>
  </rv>
  <rv s="2">
    <fb>1344.85</fb>
    <v>10</v>
  </rv>
  <rv s="2">
    <fb>1333.45</fb>
    <v>10</v>
  </rv>
  <rv s="2">
    <fb>1315</fb>
    <v>10</v>
  </rv>
  <rv s="2">
    <fb>1311.8</fb>
    <v>10</v>
  </rv>
  <rv s="2">
    <fb>1327.55</fb>
    <v>10</v>
  </rv>
  <rv s="2">
    <fb>1357.8</fb>
    <v>10</v>
  </rv>
  <rv s="2">
    <fb>1366.55</fb>
    <v>10</v>
  </rv>
  <rv s="2">
    <fb>1348.15</fb>
    <v>10</v>
  </rv>
  <rv s="2">
    <fb>1362.7</fb>
    <v>10</v>
  </rv>
  <rv s="2">
    <fb>1367.7</fb>
    <v>10</v>
  </rv>
  <rv s="2">
    <fb>1371.65</fb>
    <v>10</v>
  </rv>
  <rv s="2">
    <fb>1390.65</fb>
    <v>10</v>
  </rv>
  <rv s="2">
    <fb>1386</fb>
    <v>10</v>
  </rv>
  <rv s="2">
    <fb>1426.15</fb>
    <v>10</v>
  </rv>
  <rv s="2">
    <fb>1436.5</fb>
    <v>10</v>
  </rv>
  <rv s="2">
    <fb>1424.3</fb>
    <v>10</v>
  </rv>
  <rv s="2">
    <fb>1433</fb>
    <v>10</v>
  </rv>
  <rv s="2">
    <fb>1426.7</fb>
    <v>10</v>
  </rv>
  <rv s="2">
    <fb>1434.45</fb>
    <v>10</v>
  </rv>
  <rv s="2">
    <fb>1419.25</fb>
    <v>10</v>
  </rv>
  <rv s="2">
    <fb>1433.4</fb>
    <v>10</v>
  </rv>
  <rv s="2">
    <fb>1432.6</fb>
    <v>10</v>
  </rv>
  <rv s="2">
    <fb>1441.95</fb>
    <v>10</v>
  </rv>
  <rv s="2">
    <fb>1421.2</fb>
    <v>10</v>
  </rv>
  <rv s="2">
    <fb>1449.25</fb>
    <v>10</v>
  </rv>
  <rv s="2">
    <fb>1461.4</fb>
    <v>10</v>
  </rv>
  <rv s="2">
    <fb>1466.6</fb>
    <v>10</v>
  </rv>
  <rv s="2">
    <fb>1464.9</fb>
    <v>10</v>
  </rv>
  <rv s="2">
    <fb>1467.55</fb>
    <v>10</v>
  </rv>
  <rv s="2">
    <fb>1449.6</fb>
    <v>10</v>
  </rv>
  <rv s="2">
    <fb>1454.2</fb>
    <v>10</v>
  </rv>
  <rv s="2">
    <fb>1470.7</fb>
    <v>10</v>
  </rv>
  <rv s="2">
    <fb>1463.65</fb>
    <v>10</v>
  </rv>
  <rv s="2">
    <fb>505.15</fb>
    <v>10</v>
  </rv>
  <rv s="2">
    <fb>509.75</fb>
    <v>10</v>
  </rv>
  <rv s="2">
    <fb>515.70000000000005</fb>
    <v>10</v>
  </rv>
  <rv s="2">
    <fb>512.1</fb>
    <v>10</v>
  </rv>
  <rv s="2">
    <fb>501.2</fb>
    <v>10</v>
  </rv>
  <rv s="2">
    <fb>495.95</fb>
    <v>10</v>
  </rv>
  <rv s="2">
    <fb>525</fb>
    <v>10</v>
  </rv>
  <rv s="2">
    <fb>530.70000000000005</fb>
    <v>10</v>
  </rv>
  <rv s="2">
    <fb>542.95000000000005</fb>
    <v>10</v>
  </rv>
  <rv s="2">
    <fb>543.54999999999995</fb>
    <v>10</v>
  </rv>
  <rv s="2">
    <fb>543.9</fb>
    <v>10</v>
  </rv>
  <rv s="2">
    <fb>545.4</fb>
    <v>10</v>
  </rv>
  <rv s="2">
    <fb>543.45000000000005</fb>
    <v>10</v>
  </rv>
  <rv s="2">
    <fb>545.29999999999995</fb>
    <v>10</v>
  </rv>
  <rv s="2">
    <fb>549.25</fb>
    <v>10</v>
  </rv>
  <rv s="2">
    <fb>548.35</fb>
    <v>10</v>
  </rv>
  <rv s="2">
    <fb>550.1</fb>
    <v>10</v>
  </rv>
  <rv s="2">
    <fb>549.45000000000005</fb>
    <v>10</v>
  </rv>
  <rv s="2">
    <fb>558.25</fb>
    <v>10</v>
  </rv>
  <rv s="2">
    <fb>571.95000000000005</fb>
    <v>10</v>
  </rv>
  <rv s="2">
    <fb>576.29999999999995</fb>
    <v>10</v>
  </rv>
  <rv s="2">
    <fb>567.9</fb>
    <v>10</v>
  </rv>
  <rv s="2">
    <fb>567.75</fb>
    <v>10</v>
  </rv>
  <rv s="2">
    <fb>572.70000000000005</fb>
    <v>10</v>
  </rv>
  <rv s="2">
    <fb>584.1</fb>
    <v>10</v>
  </rv>
  <rv s="2">
    <fb>580.79999999999995</fb>
    <v>10</v>
  </rv>
  <rv s="2">
    <fb>578.25</fb>
    <v>10</v>
  </rv>
  <rv s="2">
    <fb>569.79999999999995</fb>
    <v>10</v>
  </rv>
  <rv s="2">
    <fb>573.9</fb>
    <v>10</v>
  </rv>
  <rv s="2">
    <fb>586.5</fb>
    <v>10</v>
  </rv>
  <rv s="2">
    <fb>584.95000000000005</fb>
    <v>10</v>
  </rv>
  <rv s="2">
    <fb>582.70000000000005</fb>
    <v>10</v>
  </rv>
  <rv s="2">
    <fb>581.6</fb>
    <v>10</v>
  </rv>
  <rv s="2">
    <fb>579.6</fb>
    <v>10</v>
  </rv>
  <rv s="2">
    <fb>587.20000000000005</fb>
    <v>10</v>
  </rv>
  <rv s="2">
    <fb>584.20000000000005</fb>
    <v>10</v>
  </rv>
  <rv s="2">
    <fb>588.1</fb>
    <v>10</v>
  </rv>
  <rv s="2">
    <fb>587.1</fb>
    <v>10</v>
  </rv>
  <rv s="2">
    <fb>579.70000000000005</fb>
    <v>10</v>
  </rv>
  <rv s="2">
    <fb>572</fb>
    <v>10</v>
  </rv>
  <rv s="2">
    <fb>573.04999999999995</fb>
    <v>10</v>
  </rv>
  <rv s="2">
    <fb>583.6</fb>
    <v>10</v>
  </rv>
  <rv s="2">
    <fb>569.6</fb>
    <v>10</v>
  </rv>
  <rv s="2">
    <fb>570.70000000000005</fb>
    <v>10</v>
  </rv>
  <rv s="2">
    <fb>570.1</fb>
    <v>10</v>
  </rv>
  <rv s="2">
    <fb>571</fb>
    <v>10</v>
  </rv>
  <rv s="2">
    <fb>572.35</fb>
    <v>10</v>
  </rv>
  <rv s="2">
    <fb>570.4</fb>
    <v>10</v>
  </rv>
  <rv s="2">
    <fb>574.9</fb>
    <v>10</v>
  </rv>
  <rv s="2">
    <fb>567</fb>
    <v>10</v>
  </rv>
  <rv s="2">
    <fb>563.45000000000005</fb>
    <v>10</v>
  </rv>
  <rv s="2">
    <fb>546.4</fb>
    <v>10</v>
  </rv>
  <rv s="2">
    <fb>548.15</fb>
    <v>10</v>
  </rv>
  <rv s="2">
    <fb>556.79999999999995</fb>
    <v>10</v>
  </rv>
  <rv s="2">
    <fb>561.5</fb>
    <v>10</v>
  </rv>
  <rv s="2">
    <fb>568.54999999999995</fb>
    <v>10</v>
  </rv>
  <rv s="2">
    <fb>556.20000000000005</fb>
    <v>10</v>
  </rv>
  <rv s="2">
    <fb>560.5</fb>
    <v>10</v>
  </rv>
  <rv s="2">
    <fb>564.04999999999995</fb>
    <v>10</v>
  </rv>
  <rv s="2">
    <fb>575.75</fb>
    <v>10</v>
  </rv>
  <rv s="2">
    <fb>572.95000000000005</fb>
    <v>10</v>
  </rv>
  <rv s="2">
    <fb>557.15</fb>
    <v>10</v>
  </rv>
  <rv s="2">
    <fb>553.79999999999995</fb>
    <v>10</v>
  </rv>
  <rv s="2">
    <fb>540.15</fb>
    <v>10</v>
  </rv>
  <rv s="2">
    <fb>529.1</fb>
    <v>10</v>
  </rv>
  <rv s="2">
    <fb>518.95000000000005</fb>
    <v>10</v>
  </rv>
  <rv s="2">
    <fb>530</fb>
    <v>10</v>
  </rv>
  <rv s="2">
    <fb>531.35</fb>
    <v>10</v>
  </rv>
  <rv s="2">
    <fb>529.95000000000005</fb>
    <v>10</v>
  </rv>
  <rv s="2">
    <fb>526.1</fb>
    <v>10</v>
  </rv>
  <rv s="2">
    <fb>535.95000000000005</fb>
    <v>10</v>
  </rv>
  <rv s="2">
    <fb>537.95000000000005</fb>
    <v>10</v>
  </rv>
  <rv s="2">
    <fb>532.15</fb>
    <v>10</v>
  </rv>
  <rv s="2">
    <fb>549.04999999999995</fb>
    <v>10</v>
  </rv>
  <rv s="2">
    <fb>554.70000000000005</fb>
    <v>10</v>
  </rv>
  <rv s="2">
    <fb>563.79999999999995</fb>
    <v>10</v>
  </rv>
  <rv s="2">
    <fb>562.25</fb>
    <v>10</v>
  </rv>
  <rv s="2">
    <fb>555.9</fb>
    <v>10</v>
  </rv>
  <rv s="2">
    <fb>557.5</fb>
    <v>10</v>
  </rv>
  <rv s="2">
    <fb>553.6</fb>
    <v>10</v>
  </rv>
  <rv s="2">
    <fb>554.15</fb>
    <v>10</v>
  </rv>
  <rv s="2">
    <fb>553.9</fb>
    <v>10</v>
  </rv>
  <rv s="2">
    <fb>553.1</fb>
    <v>10</v>
  </rv>
  <rv s="2">
    <fb>553.20000000000005</fb>
    <v>10</v>
  </rv>
  <rv s="2">
    <fb>550.75</fb>
    <v>10</v>
  </rv>
  <rv s="2">
    <fb>550.04999999999995</fb>
    <v>10</v>
  </rv>
  <rv s="2">
    <fb>551.9</fb>
    <v>10</v>
  </rv>
  <rv s="2">
    <fb>548.5</fb>
    <v>10</v>
  </rv>
  <rv s="2">
    <fb>550.79999999999995</fb>
    <v>10</v>
  </rv>
  <rv s="2">
    <fb>546.45000000000005</fb>
    <v>10</v>
  </rv>
  <rv s="2">
    <fb>551.4</fb>
    <v>10</v>
  </rv>
  <rv s="2">
    <fb>556.54999999999995</fb>
    <v>10</v>
  </rv>
  <rv s="2">
    <fb>558.6</fb>
    <v>10</v>
  </rv>
  <rv s="2">
    <fb>593.1</fb>
    <v>10</v>
  </rv>
  <rv s="2">
    <fb>588.35</fb>
    <v>10</v>
  </rv>
  <rv s="2">
    <fb>586.79999999999995</fb>
    <v>10</v>
  </rv>
  <rv s="2">
    <fb>591.15</fb>
    <v>10</v>
  </rv>
  <rv s="2">
    <fb>592.6</fb>
    <v>10</v>
  </rv>
  <rv s="2">
    <fb>604.4</fb>
    <v>10</v>
  </rv>
  <rv s="2">
    <fb>598.75</fb>
    <v>10</v>
  </rv>
  <rv s="2">
    <fb>602.45000000000005</fb>
    <v>10</v>
  </rv>
  <rv s="2">
    <fb>579.75</fb>
    <v>10</v>
  </rv>
  <rv s="2">
    <fb>589.04999999999995</fb>
    <v>10</v>
  </rv>
  <rv s="2">
    <fb>579.5</fb>
    <v>10</v>
  </rv>
  <rv s="2">
    <fb>577.25</fb>
    <v>10</v>
  </rv>
  <rv s="2">
    <fb>577.75</fb>
    <v>10</v>
  </rv>
  <rv s="2">
    <fb>565.85</fb>
    <v>10</v>
  </rv>
  <rv s="2">
    <fb>566.1</fb>
    <v>10</v>
  </rv>
  <rv s="2">
    <fb>573.5</fb>
    <v>10</v>
  </rv>
  <rv s="2">
    <fb>569.15</fb>
    <v>10</v>
  </rv>
  <rv s="2">
    <fb>560.95000000000005</fb>
    <v>10</v>
  </rv>
  <rv s="2">
    <fb>561.45000000000005</fb>
    <v>10</v>
  </rv>
  <rv s="2">
    <fb>561.54999999999995</fb>
    <v>10</v>
  </rv>
  <rv s="2">
    <fb>560.85</fb>
    <v>10</v>
  </rv>
  <rv s="2">
    <fb>559.85</fb>
    <v>10</v>
  </rv>
  <rv s="2">
    <fb>572.75</fb>
    <v>10</v>
  </rv>
  <rv s="2">
    <fb>552.85</fb>
    <v>10</v>
  </rv>
  <rv s="2">
    <fb>549.54999999999995</fb>
    <v>10</v>
  </rv>
  <rv s="2">
    <fb>554.6</fb>
    <v>10</v>
  </rv>
  <rv s="2">
    <fb>544.95000000000005</fb>
    <v>10</v>
  </rv>
  <rv s="2">
    <fb>543.70000000000005</fb>
    <v>10</v>
  </rv>
  <rv s="2">
    <fb>557.6</fb>
    <v>10</v>
  </rv>
  <rv s="2">
    <fb>554.95000000000005</fb>
    <v>10</v>
  </rv>
  <rv s="2">
    <fb>566</fb>
    <v>10</v>
  </rv>
  <rv s="2">
    <fb>564.4</fb>
    <v>10</v>
  </rv>
  <rv s="2">
    <fb>566.95000000000005</fb>
    <v>10</v>
  </rv>
  <rv s="2">
    <fb>563.29999999999995</fb>
    <v>10</v>
  </rv>
  <rv s="2">
    <fb>562.04999999999995</fb>
    <v>10</v>
  </rv>
  <rv s="2">
    <fb>558.04999999999995</fb>
    <v>10</v>
  </rv>
  <rv s="2">
    <fb>557.75</fb>
    <v>10</v>
  </rv>
  <rv s="2">
    <fb>561.95000000000005</fb>
    <v>10</v>
  </rv>
  <rv s="2">
    <fb>554.45000000000005</fb>
    <v>10</v>
  </rv>
  <rv s="2">
    <fb>533.70000000000005</fb>
    <v>10</v>
  </rv>
  <rv s="2">
    <fb>544.70000000000005</fb>
    <v>10</v>
  </rv>
  <rv s="2">
    <fb>533.95000000000005</fb>
    <v>10</v>
  </rv>
  <rv s="2">
    <fb>533.25</fb>
    <v>10</v>
  </rv>
  <rv s="2">
    <fb>532.4</fb>
    <v>10</v>
  </rv>
  <rv s="2">
    <fb>534.45000000000005</fb>
    <v>10</v>
  </rv>
  <rv s="2">
    <fb>534.85</fb>
    <v>10</v>
  </rv>
  <rv s="2">
    <fb>535.6</fb>
    <v>10</v>
  </rv>
  <rv s="2">
    <fb>534.5</fb>
    <v>10</v>
  </rv>
  <rv s="2">
    <fb>535</fb>
    <v>10</v>
  </rv>
  <rv s="2">
    <fb>535.15</fb>
    <v>10</v>
  </rv>
  <rv s="2">
    <fb>533.20000000000005</fb>
    <v>10</v>
  </rv>
  <rv s="2">
    <fb>539.75</fb>
    <v>10</v>
  </rv>
  <rv s="2">
    <fb>534.9</fb>
    <v>10</v>
  </rv>
  <rv s="2">
    <fb>526.20000000000005</fb>
    <v>10</v>
  </rv>
  <rv s="2">
    <fb>532.6</fb>
    <v>10</v>
  </rv>
  <rv s="2">
    <fb>527.25</fb>
    <v>10</v>
  </rv>
  <rv s="2">
    <fb>530.1</fb>
    <v>10</v>
  </rv>
  <rv s="2">
    <fb>534.79999999999995</fb>
    <v>10</v>
  </rv>
  <rv s="2">
    <fb>537</fb>
    <v>10</v>
  </rv>
  <rv s="2">
    <fb>531.85</fb>
    <v>10</v>
  </rv>
  <rv s="2">
    <fb>526.65</fb>
    <v>10</v>
  </rv>
  <rv s="2">
    <fb>523.54999999999995</fb>
    <v>10</v>
  </rv>
  <rv s="2">
    <fb>526.5</fb>
    <v>10</v>
  </rv>
  <rv s="2">
    <fb>521.85</fb>
    <v>10</v>
  </rv>
  <rv s="2">
    <fb>536.15</fb>
    <v>10</v>
  </rv>
  <rv s="2">
    <fb>537.1</fb>
    <v>10</v>
  </rv>
  <rv s="2">
    <fb>532.29999999999995</fb>
    <v>10</v>
  </rv>
  <rv s="2">
    <fb>539.4</fb>
    <v>10</v>
  </rv>
  <rv s="2">
    <fb>536.4</fb>
    <v>10</v>
  </rv>
  <rv s="2">
    <fb>544.9</fb>
    <v>10</v>
  </rv>
  <rv s="2">
    <fb>547.6</fb>
    <v>10</v>
  </rv>
  <rv s="2">
    <fb>548.04999999999995</fb>
    <v>10</v>
  </rv>
  <rv s="2">
    <fb>525.9</fb>
    <v>10</v>
  </rv>
  <rv s="2">
    <fb>523.20000000000005</fb>
    <v>10</v>
  </rv>
  <rv s="2">
    <fb>517.65</fb>
    <v>10</v>
  </rv>
  <rv s="2">
    <fb>527.15</fb>
    <v>10</v>
  </rv>
  <rv s="2">
    <fb>524.1</fb>
    <v>10</v>
  </rv>
  <rv s="2">
    <fb>520.9</fb>
    <v>10</v>
  </rv>
  <rv s="2">
    <fb>520.04999999999995</fb>
    <v>10</v>
  </rv>
  <rv s="2">
    <fb>525.29999999999995</fb>
    <v>10</v>
  </rv>
  <rv s="2">
    <fb>525.15</fb>
    <v>10</v>
  </rv>
  <rv s="2">
    <fb>524.85</fb>
    <v>10</v>
  </rv>
  <rv s="2">
    <fb>526.4</fb>
    <v>10</v>
  </rv>
  <rv s="2">
    <fb>533.65</fb>
    <v>10</v>
  </rv>
  <rv s="2">
    <fb>530.4</fb>
    <v>10</v>
  </rv>
  <rv s="2">
    <fb>532.9</fb>
    <v>10</v>
  </rv>
  <rv s="2">
    <fb>536.45000000000005</fb>
    <v>10</v>
  </rv>
  <rv s="2">
    <fb>505</fb>
    <v>10</v>
  </rv>
  <rv s="2">
    <fb>513.9</fb>
    <v>10</v>
  </rv>
  <rv s="2">
    <fb>517.9</fb>
    <v>10</v>
  </rv>
  <rv s="2">
    <fb>514.29999999999995</fb>
    <v>10</v>
  </rv>
  <rv s="2">
    <fb>518.35</fb>
    <v>10</v>
  </rv>
  <rv s="2">
    <fb>533.04999999999995</fb>
    <v>10</v>
  </rv>
  <rv s="2">
    <fb>530.75</fb>
    <v>10</v>
  </rv>
  <rv s="2">
    <fb>523.95000000000005</fb>
    <v>10</v>
  </rv>
  <rv s="2">
    <fb>523.45000000000005</fb>
    <v>10</v>
  </rv>
  <rv s="2">
    <fb>519.1</fb>
    <v>10</v>
  </rv>
  <rv s="2">
    <fb>522.25</fb>
    <v>10</v>
  </rv>
  <rv s="2">
    <fb>525.75</fb>
    <v>10</v>
  </rv>
  <rv s="2">
    <fb>526.70000000000005</fb>
    <v>10</v>
  </rv>
  <rv s="2">
    <fb>530.15</fb>
    <v>10</v>
  </rv>
  <rv s="2">
    <fb>542.1</fb>
    <v>10</v>
  </rv>
  <rv s="2">
    <fb>555.4</fb>
    <v>10</v>
  </rv>
  <rv s="2">
    <fb>556.9</fb>
    <v>10</v>
  </rv>
  <rv s="2">
    <fb>557.20000000000005</fb>
    <v>10</v>
  </rv>
  <rv s="2">
    <fb>552.25</fb>
    <v>10</v>
  </rv>
  <rv s="2">
    <fb>547.5</fb>
    <v>10</v>
  </rv>
  <rv s="2">
    <fb>556.5</fb>
    <v>10</v>
  </rv>
  <rv s="2">
    <fb>552.1</fb>
    <v>10</v>
  </rv>
  <rv s="2">
    <fb>549.95000000000005</fb>
    <v>10</v>
  </rv>
  <rv s="2">
    <fb>560.45000000000005</fb>
    <v>10</v>
  </rv>
  <rv s="2">
    <fb>562.35</fb>
    <v>10</v>
  </rv>
  <rv s="2">
    <fb>569.04999999999995</fb>
    <v>10</v>
  </rv>
  <rv s="2">
    <fb>570.9</fb>
    <v>10</v>
  </rv>
  <rv s="2">
    <fb>572.1</fb>
    <v>10</v>
  </rv>
  <rv s="2">
    <fb>567.1</fb>
    <v>10</v>
  </rv>
  <rv s="2">
    <fb>562.65</fb>
    <v>10</v>
  </rv>
  <rv s="2">
    <fb>2304274</fb>
    <v>11</v>
  </rv>
  <rv s="2">
    <fb>526.79999999999995</fb>
    <v>10</v>
  </rv>
  <rv s="2">
    <fb>528.5</fb>
    <v>10</v>
  </rv>
  <rv s="2">
    <fb>2297300</fb>
    <v>11</v>
  </rv>
  <rv s="2">
    <fb>533.54999999999995</fb>
    <v>10</v>
  </rv>
  <rv s="2">
    <fb>525.54999999999995</fb>
    <v>10</v>
  </rv>
  <rv s="2">
    <fb>2184804</fb>
    <v>11</v>
  </rv>
  <rv s="2">
    <fb>529.54999999999995</fb>
    <v>10</v>
  </rv>
  <rv s="2">
    <fb>2215580</fb>
    <v>11</v>
  </rv>
  <rv s="2">
    <fb>545.95000000000005</fb>
    <v>10</v>
  </rv>
  <rv s="2">
    <fb>550</fb>
    <v>10</v>
  </rv>
  <rv s="2">
    <fb>542.4</fb>
    <v>10</v>
  </rv>
  <rv s="2">
    <fb>2023557</fb>
    <v>11</v>
  </rv>
  <rv s="2">
    <fb>552.9</fb>
    <v>10</v>
  </rv>
  <rv s="2">
    <fb>546.70000000000005</fb>
    <v>10</v>
  </rv>
  <rv s="2">
    <fb>4905059</fb>
    <v>11</v>
  </rv>
  <rv s="2">
    <fb>558</fb>
    <v>10</v>
  </rv>
  <rv s="2">
    <fb>1385234</fb>
    <v>11</v>
  </rv>
  <rv s="2">
    <fb>555.45000000000005</fb>
    <v>10</v>
  </rv>
  <rv s="2">
    <fb>563.9</fb>
    <v>10</v>
  </rv>
  <rv s="2">
    <fb>553.25</fb>
    <v>10</v>
  </rv>
  <rv s="2">
    <fb>1166828</fb>
    <v>11</v>
  </rv>
  <rv s="2">
    <fb>560</fb>
    <v>10</v>
  </rv>
  <rv s="2">
    <fb>555.85</fb>
    <v>10</v>
  </rv>
  <rv s="2">
    <fb>1570130</fb>
    <v>11</v>
  </rv>
  <rv s="2">
    <fb>558.54999999999995</fb>
    <v>10</v>
  </rv>
  <rv s="2">
    <fb>563</fb>
    <v>10</v>
  </rv>
  <rv s="2">
    <fb>551.54999999999995</fb>
    <v>10</v>
  </rv>
  <rv s="2">
    <fb>2685928</fb>
    <v>11</v>
  </rv>
  <rv s="2">
    <fb>553.54999999999995</fb>
    <v>10</v>
  </rv>
  <rv s="2">
    <fb>554.35</fb>
    <v>10</v>
  </rv>
  <rv s="2">
    <fb>541.54999999999995</fb>
    <v>10</v>
  </rv>
  <rv s="2">
    <fb>2718117</fb>
    <v>11</v>
  </rv>
  <rv s="2">
    <fb>548.95000000000005</fb>
    <v>10</v>
  </rv>
  <rv s="2">
    <fb>558.20000000000005</fb>
    <v>10</v>
  </rv>
  <rv s="2">
    <fb>546.20000000000005</fb>
    <v>10</v>
  </rv>
  <rv s="2">
    <fb>1650679</fb>
    <v>11</v>
  </rv>
  <rv s="2">
    <fb>559</fb>
    <v>10</v>
  </rv>
  <rv s="2">
    <fb>551.29999999999995</fb>
    <v>10</v>
  </rv>
  <rv s="2">
    <fb>2146305</fb>
    <v>11</v>
  </rv>
  <rv s="2">
    <fb>555.65</fb>
    <v>10</v>
  </rv>
  <rv s="2">
    <fb>546.6</fb>
    <v>10</v>
  </rv>
  <rv s="2">
    <fb>1007065</fb>
    <v>11</v>
  </rv>
  <rv s="2">
    <fb>549</fb>
    <v>10</v>
  </rv>
  <rv s="2">
    <fb>555.70000000000005</fb>
    <v>10</v>
  </rv>
  <rv s="2">
    <fb>546.65</fb>
    <v>10</v>
  </rv>
  <rv s="2">
    <fb>2644392</fb>
    <v>11</v>
  </rv>
  <rv s="2">
    <fb>562.9</fb>
    <v>10</v>
  </rv>
  <rv s="2">
    <fb>1577846</fb>
    <v>11</v>
  </rv>
  <rv s="2">
    <fb>563.5</fb>
    <v>10</v>
  </rv>
  <rv s="2">
    <fb>2246105</fb>
    <v>11</v>
  </rv>
  <rv s="2">
    <fb>570.5</fb>
    <v>10</v>
  </rv>
  <rv s="2">
    <fb>2022971</fb>
    <v>11</v>
  </rv>
  <rv s="2">
    <fb>565.25</fb>
    <v>10</v>
  </rv>
  <rv s="2">
    <fb>1114637</fb>
    <v>11</v>
  </rv>
  <rv s="2">
    <fb>571.1</fb>
    <v>10</v>
  </rv>
  <rv s="2">
    <fb>566.65</fb>
    <v>10</v>
  </rv>
  <rv s="2">
    <fb>1068183</fb>
    <v>11</v>
  </rv>
  <rv s="2">
    <fb>567.35</fb>
    <v>10</v>
  </rv>
  <rv s="2">
    <fb>572.9</fb>
    <v>10</v>
  </rv>
  <rv s="2">
    <fb>563.1</fb>
    <v>10</v>
  </rv>
  <rv s="2">
    <fb>1632121</fb>
    <v>11</v>
  </rv>
  <rv s="2">
    <fb>575.5</fb>
    <v>10</v>
  </rv>
  <rv s="2">
    <fb>564.79999999999995</fb>
    <v>10</v>
  </rv>
  <rv s="2">
    <fb>1815315</fb>
    <v>11</v>
  </rv>
  <rv s="2">
    <fb>560.04999999999995</fb>
    <v>10</v>
  </rv>
  <rv s="2">
    <fb>1494.3</fb>
    <v>10</v>
  </rv>
  <rv s="2">
    <fb>1494.85</fb>
    <v>10</v>
  </rv>
  <rv s="2">
    <fb>1535.8</fb>
    <v>10</v>
  </rv>
  <rv s="2">
    <fb>1551.5</fb>
    <v>10</v>
  </rv>
  <rv s="2">
    <fb>1547.9</fb>
    <v>10</v>
  </rv>
  <rv s="2">
    <fb>1558.25</fb>
    <v>10</v>
  </rv>
  <rv s="2">
    <fb>1572.15</fb>
    <v>10</v>
  </rv>
  <rv s="2">
    <fb>1581.7</fb>
    <v>10</v>
  </rv>
  <rv s="2">
    <fb>1564.9</fb>
    <v>10</v>
  </rv>
  <rv s="2">
    <fb>1556.15</fb>
    <v>10</v>
  </rv>
  <rv s="2">
    <fb>1611.1</fb>
    <v>10</v>
  </rv>
  <rv s="2">
    <fb>1687.45</fb>
    <v>10</v>
  </rv>
  <rv s="2">
    <fb>1663</fb>
    <v>10</v>
  </rv>
  <rv s="2">
    <fb>1653.75</fb>
    <v>10</v>
  </rv>
  <rv s="2">
    <fb>1647.25</fb>
    <v>10</v>
  </rv>
  <rv s="2">
    <fb>1646.15</fb>
    <v>10</v>
  </rv>
  <rv s="2">
    <fb>1684.85</fb>
    <v>10</v>
  </rv>
  <rv s="2">
    <fb>1727.65</fb>
    <v>10</v>
  </rv>
  <rv s="2">
    <fb>1729.8</fb>
    <v>10</v>
  </rv>
  <rv s="2">
    <fb>1739.95</fb>
    <v>10</v>
  </rv>
  <rv s="2">
    <fb>1765.15</fb>
    <v>10</v>
  </rv>
  <rv s="2">
    <fb>1767.75</fb>
    <v>10</v>
  </rv>
  <rv s="2">
    <fb>1782.45</fb>
    <v>10</v>
  </rv>
  <rv s="2">
    <fb>1751.25</fb>
    <v>10</v>
  </rv>
  <rv s="2">
    <fb>1796.65</fb>
    <v>10</v>
  </rv>
  <rv s="2">
    <fb>1801.25</fb>
    <v>10</v>
  </rv>
  <rv s="2">
    <fb>1808.05</fb>
    <v>10</v>
  </rv>
  <rv s="2">
    <fb>1814.7</fb>
    <v>10</v>
  </rv>
  <rv s="2">
    <fb>1793.05</fb>
    <v>10</v>
  </rv>
  <rv s="2">
    <fb>1789.8</fb>
    <v>10</v>
  </rv>
  <rv s="2">
    <fb>1780.1</fb>
    <v>10</v>
  </rv>
  <rv s="2">
    <fb>1787.45</fb>
    <v>10</v>
  </rv>
  <rv s="2">
    <fb>1829.65</fb>
    <v>10</v>
  </rv>
  <rv s="2">
    <fb>1855.15</fb>
    <v>10</v>
  </rv>
  <rv s="2">
    <fb>1867.15</fb>
    <v>10</v>
  </rv>
  <rv s="2">
    <fb>1846.45</fb>
    <v>10</v>
  </rv>
  <rv s="2">
    <fb>1848.9</fb>
    <v>10</v>
  </rv>
  <rv s="2">
    <fb>1855.7</fb>
    <v>10</v>
  </rv>
  <rv s="2">
    <fb>1894.55</fb>
    <v>10</v>
  </rv>
  <rv s="2">
    <fb>1936.05</fb>
    <v>10</v>
  </rv>
  <rv s="2">
    <fb>1880.65</fb>
    <v>10</v>
  </rv>
  <rv s="2">
    <fb>1877.05</fb>
    <v>10</v>
  </rv>
  <rv s="2">
    <fb>1893.35</fb>
    <v>10</v>
  </rv>
  <rv s="2">
    <fb>1877.9</fb>
    <v>10</v>
  </rv>
  <rv s="2">
    <fb>1905.4</fb>
    <v>10</v>
  </rv>
  <rv s="2">
    <fb>1881.5</fb>
    <v>10</v>
  </rv>
  <rv s="2">
    <fb>1922.5</fb>
    <v>10</v>
  </rv>
  <rv s="2">
    <fb>1912.95</fb>
    <v>10</v>
  </rv>
  <rv s="2">
    <fb>1940.5</fb>
    <v>10</v>
  </rv>
  <rv s="2">
    <fb>1968.35</fb>
    <v>10</v>
  </rv>
  <rv s="2">
    <fb>1962.3</fb>
    <v>10</v>
  </rv>
  <rv s="2">
    <fb>1958.1</fb>
    <v>10</v>
  </rv>
  <rv s="2">
    <fb>1974.4</fb>
    <v>10</v>
  </rv>
  <rv s="2">
    <fb>1949.75</fb>
    <v>10</v>
  </rv>
  <rv s="2">
    <fb>1961.9</fb>
    <v>10</v>
  </rv>
  <rv s="2">
    <fb>1991.35</fb>
    <v>10</v>
  </rv>
  <rv s="2">
    <fb>1953.9</fb>
    <v>10</v>
  </rv>
  <rv s="2">
    <fb>1957.5</fb>
    <v>10</v>
  </rv>
  <rv s="2">
    <fb>1920</fb>
    <v>10</v>
  </rv>
  <rv s="2">
    <fb>1910.7</fb>
    <v>10</v>
  </rv>
  <rv s="2">
    <fb>1932.7</fb>
    <v>10</v>
  </rv>
  <rv s="2">
    <fb>1895.65</fb>
    <v>10</v>
  </rv>
  <rv s="2">
    <fb>1888.2</fb>
    <v>10</v>
  </rv>
  <rv s="2">
    <fb>1856.85</fb>
    <v>10</v>
  </rv>
  <rv s="2">
    <fb>1851.45</fb>
    <v>10</v>
  </rv>
  <rv s="2">
    <fb>1841.2</fb>
    <v>10</v>
  </rv>
  <rv s="2">
    <fb>1835.45</fb>
    <v>10</v>
  </rv>
  <rv s="2">
    <fb>1815.5</fb>
    <v>10</v>
  </rv>
  <rv s="2">
    <fb>1847.7</fb>
    <v>10</v>
  </rv>
  <rv s="2">
    <fb>1819.3</fb>
    <v>10</v>
  </rv>
  <rv s="2">
    <fb>1871.55</fb>
    <v>10</v>
  </rv>
  <rv s="2">
    <fb>1924.55</fb>
    <v>10</v>
  </rv>
  <rv s="2">
    <fb>1909.65</fb>
    <v>10</v>
  </rv>
  <rv s="2">
    <fb>1878.95</fb>
    <v>10</v>
  </rv>
  <rv s="2">
    <fb>1911.25</fb>
    <v>10</v>
  </rv>
  <rv s="2">
    <fb>1876.15</fb>
    <v>10</v>
  </rv>
  <rv s="2">
    <fb>1911.6</fb>
    <v>10</v>
  </rv>
  <rv s="2">
    <fb>1883.2</fb>
    <v>10</v>
  </rv>
  <rv s="2">
    <fb>1918.1</fb>
    <v>10</v>
  </rv>
  <rv s="2">
    <fb>1904.9</fb>
    <v>10</v>
  </rv>
  <rv s="2">
    <fb>1904.15</fb>
    <v>10</v>
  </rv>
  <rv s="2">
    <fb>1876.75</fb>
    <v>10</v>
  </rv>
  <rv s="2">
    <fb>1909.75</fb>
    <v>10</v>
  </rv>
  <rv s="2">
    <fb>1949.1</fb>
    <v>10</v>
  </rv>
  <rv s="2">
    <fb>1964.05</fb>
    <v>10</v>
  </rv>
  <rv s="2">
    <fb>1975.05</fb>
    <v>10</v>
  </rv>
  <rv s="2">
    <fb>2023.1</fb>
    <v>10</v>
  </rv>
  <rv s="2">
    <fb>2024.45</fb>
    <v>10</v>
  </rv>
  <rv s="2">
    <fb>2013.3</fb>
    <v>10</v>
  </rv>
  <rv s="2">
    <fb>2008.7</fb>
    <v>10</v>
  </rv>
  <rv s="2">
    <fb>2015.1</fb>
    <v>10</v>
  </rv>
  <rv s="2">
    <fb>2017.65</fb>
    <v>10</v>
  </rv>
  <rv s="2">
    <fb>2003.5</fb>
    <v>10</v>
  </rv>
  <rv s="2">
    <fb>1977.65</fb>
    <v>10</v>
  </rv>
  <rv s="2">
    <fb>2011.1</fb>
    <v>10</v>
  </rv>
  <rv s="2">
    <fb>1999.8</fb>
    <v>10</v>
  </rv>
  <rv s="2">
    <fb>1996.55</fb>
    <v>10</v>
  </rv>
  <rv s="2">
    <fb>2003.6</fb>
    <v>10</v>
  </rv>
  <rv s="2">
    <fb>2029.55</fb>
    <v>10</v>
  </rv>
  <rv s="2">
    <fb>2011.45</fb>
    <v>10</v>
  </rv>
  <rv s="2">
    <fb>2029.8</fb>
    <v>10</v>
  </rv>
  <rv s="2">
    <fb>2025</fb>
    <v>10</v>
  </rv>
  <rv s="2">
    <fb>2052.1999999999998</fb>
    <v>10</v>
  </rv>
  <rv s="2">
    <fb>2062.75</fb>
    <v>10</v>
  </rv>
  <rv s="2">
    <fb>2064.4499999999998</fb>
    <v>10</v>
  </rv>
  <rv s="2">
    <fb>2050.5500000000002</fb>
    <v>10</v>
  </rv>
  <rv s="2">
    <fb>2074.85</fb>
    <v>10</v>
  </rv>
  <rv s="2">
    <fb>2104.25</fb>
    <v>10</v>
  </rv>
  <rv s="2">
    <fb>2085.5</fb>
    <v>10</v>
  </rv>
  <rv s="2">
    <fb>2085.6</fb>
    <v>10</v>
  </rv>
  <rv s="2">
    <fb>2093.5</fb>
    <v>10</v>
  </rv>
  <rv s="2">
    <fb>2124</fb>
    <v>10</v>
  </rv>
  <rv s="2">
    <fb>2167.6999999999998</fb>
    <v>10</v>
  </rv>
  <rv s="2">
    <fb>2154.0500000000002</fb>
    <v>10</v>
  </rv>
  <rv s="2">
    <fb>2163.6999999999998</fb>
    <v>10</v>
  </rv>
  <rv s="2">
    <fb>2172.9</fb>
    <v>10</v>
  </rv>
  <rv s="2">
    <fb>2195.4499999999998</fb>
    <v>10</v>
  </rv>
  <rv s="2">
    <fb>2177.5500000000002</fb>
    <v>10</v>
  </rv>
  <rv s="2">
    <fb>2175</fb>
    <v>10</v>
  </rv>
  <rv s="2">
    <fb>2184</fb>
    <v>10</v>
  </rv>
  <rv s="2">
    <fb>2163.25</fb>
    <v>10</v>
  </rv>
  <rv s="2">
    <fb>2146.3000000000002</fb>
    <v>10</v>
  </rv>
  <rv s="2">
    <fb>2109.9499999999998</fb>
    <v>10</v>
  </rv>
  <rv s="2">
    <fb>2091.0500000000002</fb>
    <v>10</v>
  </rv>
  <rv s="2">
    <fb>2124.1</fb>
    <v>10</v>
  </rv>
  <rv s="2">
    <fb>2121.1</fb>
    <v>10</v>
  </rv>
  <rv s="2">
    <fb>2110.9</fb>
    <v>10</v>
  </rv>
  <rv s="2">
    <fb>2085.8000000000002</fb>
    <v>10</v>
  </rv>
  <rv s="2">
    <fb>2089.4499999999998</fb>
    <v>10</v>
  </rv>
  <rv s="2">
    <fb>2088.9499999999998</fb>
    <v>10</v>
  </rv>
  <rv s="2">
    <fb>2070.5500000000002</fb>
    <v>10</v>
  </rv>
  <rv s="2">
    <fb>2087.35</fb>
    <v>10</v>
  </rv>
  <rv s="2">
    <fb>2086.5500000000002</fb>
    <v>10</v>
  </rv>
  <rv s="2">
    <fb>2121.6999999999998</fb>
    <v>10</v>
  </rv>
  <rv s="2">
    <fb>2106.65</fb>
    <v>10</v>
  </rv>
  <rv s="2">
    <fb>2125.35</fb>
    <v>10</v>
  </rv>
  <rv s="2">
    <fb>2159.75</fb>
    <v>10</v>
  </rv>
  <rv s="2">
    <fb>2153.4</fb>
    <v>10</v>
  </rv>
  <rv s="2">
    <fb>2137.1999999999998</fb>
    <v>10</v>
  </rv>
  <rv s="2">
    <fb>2213.1</fb>
    <v>10</v>
  </rv>
  <rv s="2">
    <fb>2266.5</fb>
    <v>10</v>
  </rv>
  <rv s="2">
    <fb>2273.1</fb>
    <v>10</v>
  </rv>
  <rv s="2">
    <fb>2249.9499999999998</fb>
    <v>10</v>
  </rv>
  <rv s="2">
    <fb>2233.5</fb>
    <v>10</v>
  </rv>
  <rv s="2">
    <fb>2207.5</fb>
    <v>10</v>
  </rv>
  <rv s="2">
    <fb>2174.6999999999998</fb>
    <v>10</v>
  </rv>
  <rv s="2">
    <fb>2159.85</fb>
    <v>10</v>
  </rv>
  <rv s="2">
    <fb>2112.9</fb>
    <v>10</v>
  </rv>
  <rv s="2">
    <fb>2124.4</fb>
    <v>10</v>
  </rv>
  <rv s="2">
    <fb>2144.9</fb>
    <v>10</v>
  </rv>
  <rv s="2">
    <fb>2166.5500000000002</fb>
    <v>10</v>
  </rv>
  <rv s="2">
    <fb>2156.1</fb>
    <v>10</v>
  </rv>
  <rv s="2">
    <fb>2165.3000000000002</fb>
    <v>10</v>
  </rv>
  <rv s="2">
    <fb>2130.85</fb>
    <v>10</v>
  </rv>
  <rv s="2">
    <fb>2147.4</fb>
    <v>10</v>
  </rv>
  <rv s="2">
    <fb>2163.85</fb>
    <v>10</v>
  </rv>
  <rv s="2">
    <fb>2203.3000000000002</fb>
    <v>10</v>
  </rv>
  <rv s="2">
    <fb>2191.65</fb>
    <v>10</v>
  </rv>
  <rv s="2">
    <fb>2175.0500000000002</fb>
    <v>10</v>
  </rv>
  <rv s="2">
    <fb>2178.3000000000002</fb>
    <v>10</v>
  </rv>
  <rv s="2">
    <fb>2226.35</fb>
    <v>10</v>
  </rv>
  <rv s="2">
    <fb>2225.5</fb>
    <v>10</v>
  </rv>
  <rv s="2">
    <fb>2229.4499999999998</fb>
    <v>10</v>
  </rv>
  <rv s="2">
    <fb>2194.75</fb>
    <v>10</v>
  </rv>
  <rv s="2">
    <fb>2159.15</fb>
    <v>10</v>
  </rv>
  <rv s="2">
    <fb>2134.0500000000002</fb>
    <v>10</v>
  </rv>
  <rv s="2">
    <fb>2113.6999999999998</fb>
    <v>10</v>
  </rv>
  <rv s="2">
    <fb>2109.15</fb>
    <v>10</v>
  </rv>
  <rv s="2">
    <fb>2115.3000000000002</fb>
    <v>10</v>
  </rv>
  <rv s="2">
    <fb>2121.6</fb>
    <v>10</v>
  </rv>
  <rv s="2">
    <fb>2152.0500000000002</fb>
    <v>10</v>
  </rv>
  <rv s="2">
    <fb>2141.15</fb>
    <v>10</v>
  </rv>
  <rv s="2">
    <fb>2170.8000000000002</fb>
    <v>10</v>
  </rv>
  <rv s="2">
    <fb>2193.1999999999998</fb>
    <v>10</v>
  </rv>
  <rv s="2">
    <fb>2157.85</fb>
    <v>10</v>
  </rv>
  <rv s="2">
    <fb>2133.85</fb>
    <v>10</v>
  </rv>
  <rv s="2">
    <fb>2144.1999999999998</fb>
    <v>10</v>
  </rv>
  <rv s="2">
    <fb>2176.65</fb>
    <v>10</v>
  </rv>
  <rv s="2">
    <fb>2173.6</fb>
    <v>10</v>
  </rv>
  <rv s="2">
    <fb>2195.75</fb>
    <v>10</v>
  </rv>
  <rv s="2">
    <fb>2208.4499999999998</fb>
    <v>10</v>
  </rv>
  <rv s="2">
    <fb>2213.9499999999998</fb>
    <v>10</v>
  </rv>
  <rv s="2">
    <fb>2206.65</fb>
    <v>10</v>
  </rv>
  <rv s="2">
    <fb>2166.15</fb>
    <v>10</v>
  </rv>
  <rv s="2">
    <fb>2154</fb>
    <v>10</v>
  </rv>
  <rv s="2">
    <fb>2133.6</fb>
    <v>10</v>
  </rv>
  <rv s="2">
    <fb>2147.4499999999998</fb>
    <v>10</v>
  </rv>
  <rv s="2">
    <fb>2164.1999999999998</fb>
    <v>10</v>
  </rv>
  <rv s="2">
    <fb>2170.15</fb>
    <v>10</v>
  </rv>
  <rv s="2">
    <fb>2257.75</fb>
    <v>10</v>
  </rv>
  <rv s="2">
    <fb>2274.25</fb>
    <v>10</v>
  </rv>
  <rv s="2">
    <fb>2309.6999999999998</fb>
    <v>10</v>
  </rv>
  <rv s="2">
    <fb>2301.5</fb>
    <v>10</v>
  </rv>
  <rv s="2">
    <fb>2288.5</fb>
    <v>10</v>
  </rv>
  <rv s="2">
    <fb>2258.75</fb>
    <v>10</v>
  </rv>
  <rv s="2">
    <fb>2214</fb>
    <v>10</v>
  </rv>
  <rv s="2">
    <fb>2216.6</fb>
    <v>10</v>
  </rv>
  <rv s="2">
    <fb>2219.6</fb>
    <v>10</v>
  </rv>
  <rv s="2">
    <fb>2232.75</fb>
    <v>10</v>
  </rv>
  <rv s="2">
    <fb>2215.1999999999998</fb>
    <v>10</v>
  </rv>
  <rv s="2">
    <fb>2228.9</fb>
    <v>10</v>
  </rv>
  <rv s="2">
    <fb>2247.9499999999998</fb>
    <v>10</v>
  </rv>
  <rv s="2">
    <fb>2276.15</fb>
    <v>10</v>
  </rv>
  <rv s="2">
    <fb>2305.6</fb>
    <v>10</v>
  </rv>
  <rv s="2">
    <fb>2364.4</fb>
    <v>10</v>
  </rv>
  <rv s="2">
    <fb>2384.4499999999998</fb>
    <v>10</v>
  </rv>
  <rv s="2">
    <fb>2356.3000000000002</fb>
    <v>10</v>
  </rv>
  <rv s="2">
    <fb>2356.9</fb>
    <v>10</v>
  </rv>
  <rv s="2">
    <fb>2377.5</fb>
    <v>10</v>
  </rv>
  <rv s="2">
    <fb>2365.4</fb>
    <v>10</v>
  </rv>
  <rv s="2">
    <fb>2374.35</fb>
    <v>10</v>
  </rv>
  <rv s="2">
    <fb>2364.4499999999998</fb>
    <v>10</v>
  </rv>
  <rv s="2">
    <fb>2242.15</fb>
    <v>10</v>
  </rv>
  <rv s="2">
    <fb>2221.1</fb>
    <v>10</v>
  </rv>
  <rv s="2">
    <fb>2246.85</fb>
    <v>10</v>
  </rv>
  <rv s="2">
    <fb>2227.1999999999998</fb>
    <v>10</v>
  </rv>
  <rv s="2">
    <fb>2188.1999999999998</fb>
    <v>10</v>
  </rv>
  <rv s="2">
    <fb>2190.0500000000002</fb>
    <v>10</v>
  </rv>
  <rv s="2">
    <fb>2197.65</fb>
    <v>10</v>
  </rv>
  <rv s="2">
    <fb>2185.15</fb>
    <v>10</v>
  </rv>
  <rv s="2">
    <fb>2204.6999999999998</fb>
    <v>10</v>
  </rv>
  <rv s="2">
    <fb>2218.4499999999998</fb>
    <v>10</v>
  </rv>
  <rv s="2">
    <fb>2224.5500000000002</fb>
    <v>10</v>
  </rv>
  <rv s="2">
    <fb>2210.8000000000002</fb>
    <v>10</v>
  </rv>
  <rv s="2">
    <fb>2205.65</fb>
    <v>10</v>
  </rv>
  <rv s="2">
    <fb>2207.8000000000002</fb>
    <v>10</v>
  </rv>
  <rv s="2">
    <fb>2234.5500000000002</fb>
    <v>10</v>
  </rv>
  <rv s="2">
    <fb>2268.3000000000002</fb>
    <v>10</v>
  </rv>
  <rv s="2">
    <fb>2277.9499999999998</fb>
    <v>10</v>
  </rv>
  <rv s="2">
    <fb>2315.5</fb>
    <v>10</v>
  </rv>
  <rv s="2">
    <fb>2340.3000000000002</fb>
    <v>10</v>
  </rv>
  <rv s="2">
    <fb>2363</fb>
    <v>10</v>
  </rv>
  <rv s="2">
    <fb>2339.9499999999998</fb>
    <v>10</v>
  </rv>
  <rv s="2">
    <fb>2355.0500000000002</fb>
    <v>10</v>
  </rv>
  <rv s="2">
    <fb>2361.3000000000002</fb>
    <v>10</v>
  </rv>
  <rv s="2">
    <fb>2366.8000000000002</fb>
    <v>10</v>
  </rv>
  <rv s="2">
    <fb>2366.35</fb>
    <v>10</v>
  </rv>
  <rv s="2">
    <fb>2382</fb>
    <v>10</v>
  </rv>
  <rv s="2">
    <fb>2394.4499999999998</fb>
    <v>10</v>
  </rv>
  <rv s="2">
    <fb>2416.25</fb>
    <v>10</v>
  </rv>
  <rv s="2">
    <fb>2648479</fb>
    <v>11</v>
  </rv>
  <rv s="2">
    <fb>2200</fb>
    <v>10</v>
  </rv>
  <rv s="2">
    <fb>2208.5</fb>
    <v>10</v>
  </rv>
  <rv s="2">
    <fb>2176</fb>
    <v>10</v>
  </rv>
  <rv s="2">
    <fb>1689521</fb>
    <v>11</v>
  </rv>
  <rv s="2">
    <fb>2190</fb>
    <v>10</v>
  </rv>
  <rv s="2">
    <fb>2207.3000000000002</fb>
    <v>10</v>
  </rv>
  <rv s="2">
    <fb>2178</fb>
    <v>10</v>
  </rv>
  <rv s="2">
    <fb>1249128</fb>
    <v>11</v>
  </rv>
  <rv s="2">
    <fb>2209</fb>
    <v>10</v>
  </rv>
  <rv s="2">
    <fb>2220.75</fb>
    <v>10</v>
  </rv>
  <rv s="2">
    <fb>2201</fb>
    <v>10</v>
  </rv>
  <rv s="2">
    <fb>1369656</fb>
    <v>11</v>
  </rv>
  <rv s="2">
    <fb>2225</fb>
    <v>10</v>
  </rv>
  <rv s="2">
    <fb>2241.8000000000002</fb>
    <v>10</v>
  </rv>
  <rv s="2">
    <fb>2220.1999999999998</fb>
    <v>10</v>
  </rv>
  <rv s="2">
    <fb>1716729</fb>
    <v>11</v>
  </rv>
  <rv s="2">
    <fb>2230</fb>
    <v>10</v>
  </rv>
  <rv s="2">
    <fb>2237</fb>
    <v>10</v>
  </rv>
  <rv s="2">
    <fb>2207.1999999999998</fb>
    <v>10</v>
  </rv>
  <rv s="2">
    <fb>2809284</fb>
    <v>11</v>
  </rv>
  <rv s="2">
    <fb>2201.1</fb>
    <v>10</v>
  </rv>
  <rv s="2">
    <fb>2224</fb>
    <v>10</v>
  </rv>
  <rv s="2">
    <fb>1049488</fb>
    <v>11</v>
  </rv>
  <rv s="2">
    <fb>2217</fb>
    <v>10</v>
  </rv>
  <rv s="2">
    <fb>2222</fb>
    <v>10</v>
  </rv>
  <rv s="2">
    <fb>2202.15</fb>
    <v>10</v>
  </rv>
  <rv s="2">
    <fb>1399950</fb>
    <v>11</v>
  </rv>
  <rv s="2">
    <fb>2221</fb>
    <v>10</v>
  </rv>
  <rv s="2">
    <fb>2237.3000000000002</fb>
    <v>10</v>
  </rv>
  <rv s="2">
    <fb>2212.15</fb>
    <v>10</v>
  </rv>
  <rv s="2">
    <fb>2344944</fb>
    <v>11</v>
  </rv>
  <rv s="2">
    <fb>2245</fb>
    <v>10</v>
  </rv>
  <rv s="2">
    <fb>2272.8000000000002</fb>
    <v>10</v>
  </rv>
  <rv s="2">
    <fb>2240</fb>
    <v>10</v>
  </rv>
  <rv s="2">
    <fb>1677680</fb>
    <v>11</v>
  </rv>
  <rv s="2">
    <fb>2269</fb>
    <v>10</v>
  </rv>
  <rv s="2">
    <fb>2280.6999999999998</fb>
    <v>10</v>
  </rv>
  <rv s="2">
    <fb>2263.6999999999998</fb>
    <v>10</v>
  </rv>
  <rv s="2">
    <fb>2128603</fb>
    <v>11</v>
  </rv>
  <rv s="2">
    <fb>2278</fb>
    <v>10</v>
  </rv>
  <rv s="2">
    <fb>2318</fb>
    <v>10</v>
  </rv>
  <rv s="2">
    <fb>2556995</fb>
    <v>11</v>
  </rv>
  <rv s="2">
    <fb>2316.9499999999998</fb>
    <v>10</v>
  </rv>
  <rv s="2">
    <fb>2345.0500000000002</fb>
    <v>10</v>
  </rv>
  <rv s="2">
    <fb>2312.75</fb>
    <v>10</v>
  </rv>
  <rv s="2">
    <fb>2501720</fb>
    <v>11</v>
  </rv>
  <rv s="2">
    <fb>2345</fb>
    <v>10</v>
  </rv>
  <rv s="2">
    <fb>2368.85</fb>
    <v>10</v>
  </rv>
  <rv s="2">
    <fb>2338.25</fb>
    <v>10</v>
  </rv>
  <rv s="2">
    <fb>1172382</fb>
    <v>11</v>
  </rv>
  <rv s="2">
    <fb>2365</fb>
    <v>10</v>
  </rv>
  <rv s="2">
    <fb>2370</fb>
    <v>10</v>
  </rv>
  <rv s="2">
    <fb>1688768</fb>
    <v>11</v>
  </rv>
  <rv s="2">
    <fb>2345.85</fb>
    <v>10</v>
  </rv>
  <rv s="2">
    <fb>2357.9</fb>
    <v>10</v>
  </rv>
  <rv s="2">
    <fb>2327.1</fb>
    <v>10</v>
  </rv>
  <rv s="2">
    <fb>1013564</fb>
    <v>11</v>
  </rv>
  <rv s="2">
    <fb>2352.9</fb>
    <v>10</v>
  </rv>
  <rv s="2">
    <fb>2360</fb>
    <v>10</v>
  </rv>
  <rv s="2">
    <fb>2340</fb>
    <v>10</v>
  </rv>
  <rv s="2">
    <fb>2561534</fb>
    <v>11</v>
  </rv>
  <rv s="2">
    <fb>2355</fb>
    <v>10</v>
  </rv>
  <rv s="2">
    <fb>2369.5</fb>
    <v>10</v>
  </rv>
  <rv s="2">
    <fb>2349</fb>
    <v>10</v>
  </rv>
  <rv s="2">
    <fb>1794542</fb>
    <v>11</v>
  </rv>
  <rv s="2">
    <fb>2363.75</fb>
    <v>10</v>
  </rv>
  <rv s="2">
    <fb>2380</fb>
    <v>10</v>
  </rv>
  <rv s="2">
    <fb>2352.25</fb>
    <v>10</v>
  </rv>
  <rv s="2">
    <fb>3111256</fb>
    <v>11</v>
  </rv>
  <rv s="2">
    <fb>2379</fb>
    <v>10</v>
  </rv>
  <rv s="2">
    <fb>2419.9</fb>
    <v>10</v>
  </rv>
  <rv s="2">
    <fb>2361</fb>
    <v>10</v>
  </rv>
  <rv s="2">
    <fb>1771306</fb>
    <v>11</v>
  </rv>
  <rv s="2">
    <fb>2364.9499999999998</fb>
    <v>10</v>
  </rv>
  <rv s="2">
    <fb>2389.65</fb>
    <v>10</v>
  </rv>
  <rv s="2">
    <fb>2354.4499999999998</fb>
    <v>10</v>
  </rv>
  <rv s="2">
    <fb>1607299</fb>
    <v>11</v>
  </rv>
  <rv s="2">
    <fb>2412</fb>
    <v>10</v>
  </rv>
  <rv s="2">
    <fb>1741775</fb>
    <v>11</v>
  </rv>
  <rv s="2">
    <fb>2394.6</fb>
    <v>10</v>
  </rv>
  <rv s="2">
    <fb>2424</fb>
    <v>10</v>
  </rv>
  <rv s="3">
    <v>https://www.bing.com/financeapi/forcetrigger?t=ahirxm&amp;q=XNSE%3aLT&amp;form=skydnc</v>
    <v>Learn more on Bing</v>
  </rv>
  <rv s="4">
    <v>en-IN</v>
    <v>ahirxm</v>
    <v>268435456</v>
    <v>1</v>
    <v>Powered by Refinitiv</v>
    <v>6</v>
    <v>LARSEN AND TOUBRO LIMITED (XNSE:LT)</v>
    <v>7</v>
    <v>8</v>
    <v>Finance</v>
    <v>9</v>
    <v>2427</v>
    <v>1456.35</v>
    <v>1.1305000000000001</v>
    <v>-15.2</v>
    <v>-6.2909999999999997E-3</v>
    <v>INR</v>
    <v>Larsen and Toubro Limited is an India-based company that is engaged in technology, engineering, construction, manufacturing and financial services conglomerate with global operations. The Company’s segments include Infrastructure, Power, Heavy Engineering and Defense Engineering. The Infrastructure segment is engaged in engineering and construction of buildings and factories, transportation infrastructure and heavy civil infrastructure. The Power segment offers solutions for coal-based and gas-based thermal power plants. The Heavy Engineering segment manufactures and supplies custom-designed, engineered critical equipment and systems. The Defense Engineering segment is engaged in designing, development, serial production and supporting of equipment, systems and platforms for defense and aerospace sectors. It also includes communication projects, hydrocarbon, marketing and servicing of construction and mining machinery and parts, and manufacture and sale of rubber processing machinery.</v>
    <v>49921</v>
    <v>National Stock Exchange of India</v>
    <v>XNSE</v>
    <v>XNSE</v>
    <v>L&amp;T House, Ballard Estate, P. O. Box: 278,, MUMBAI, MAHARASHTRA, 400001 IN</v>
    <v>2427</v>
    <v>Construction &amp; Engineering</v>
    <v>Stock</v>
    <v>45100.194085648145</v>
    <v>2547</v>
    <v>2392</v>
    <v>3365574000000</v>
    <v>LARSEN AND TOUBRO LIMITED</v>
    <v>LARSEN AND TOUBRO LIMITED</v>
    <v>2418.9499999999998</v>
    <v>32.43</v>
    <v>2416.25</v>
    <v>2401.0500000000002</v>
    <v>1405573000</v>
    <v>LT</v>
    <v>LARSEN AND TOUBRO LIMITED (XNSE:LT)</v>
    <v>414944</v>
    <v>1977940</v>
    <v>1946</v>
  </rv>
  <rv s="1">
    <v>2548</v>
  </rv>
  <rv s="3">
    <v>https://www.bing.com/financeapi/forcetrigger?t=ahhhk2&amp;q=XNSE%3aDABUR&amp;form=skydnc</v>
    <v>Learn more on Bing</v>
  </rv>
  <rv s="4">
    <v>en-IN</v>
    <v>ahhhk2</v>
    <v>268435456</v>
    <v>1</v>
    <v>Powered by Refinitiv</v>
    <v>6</v>
    <v>DABUR INDIA LIMITED (XNSE:DABUR)</v>
    <v>7</v>
    <v>8</v>
    <v>Finance</v>
    <v>9</v>
    <v>610.75</v>
    <v>484.6</v>
    <v>0.4254</v>
    <v>-5.7</v>
    <v>-1.0130999999999999E-2</v>
    <v>INR</v>
    <v>Dabur India Limited is a fast moving consumer goods (FMCG) company. Its segments include Consumer care business, Food business, Retail business and Other segments. Its Consumer care business segment includes home care, personal care, and health care. Its Food business segment includes juices, beverages, and culinary. Its Retail business segment includes retail stores. Its Other segments include Guar gum, pharma and others. Its product categories include hair care, oral care, health care, skin care, home care and foods. Its FMCG portfolio includes eight brands, including Dabur Chyawanprash, Dabur Honey, Dabur PudinHara, Dabur Lal Tail and Dabur Honitus in the healthcare space; Dabur Amla and Dabur Red Paste in the personal care category; and Real in the food and Beverage’s category. In addition, Vatika is an international brand. Its products include Real Juices, Dabur Red Paste, Odonil, Odomos, Dabur Hommade Tasty Masala, Rheumatil Oil, Dabur Badam Oil, Odopic, Oxy bleach and Hajmola.</v>
    <v>8562</v>
    <v>National Stock Exchange of India</v>
    <v>XNSE</v>
    <v>XNSE</v>
    <v>Dabur Towers, Kaushambi,, Sahibabad,, GHAZIABAD, UTTAR PRADESH, 201010 IN</v>
    <v>561.95000000000005</v>
    <v>Personal &amp; Household Products &amp; Services</v>
    <v>Stock</v>
    <v>45100.194074074076</v>
    <v>2550</v>
    <v>556</v>
    <v>1004921000000</v>
    <v>DABUR INDIA LIMITED</v>
    <v>DABUR INDIA LIMITED</v>
    <v>560</v>
    <v>58.31</v>
    <v>562.65</v>
    <v>556.95000000000005</v>
    <v>1772035000</v>
    <v>DABUR</v>
    <v>DABUR INDIA LIMITED (XNSE:DABUR)</v>
    <v>249117</v>
    <v>1711030</v>
    <v>1975</v>
  </rv>
  <rv s="1">
    <v>2551</v>
  </rv>
  <rv s="5">
    <v>12</v>
    <v>ahgqcw</v>
    <v>Daily</v>
    <v>44735</v>
    <v>45100</v>
    <v>0</v>
    <v>1</v>
    <v>638229888000000000,638230928730834121,0</v>
    <v>0</v>
    <v>ahgqcw</v>
    <v>XNSE:ABB</v>
    <v>1</v>
  </rv>
  <rv s="5">
    <v>12</v>
    <v>ahhfa2</v>
    <v>Daily</v>
    <v>44735</v>
    <v>45100</v>
    <v>0</v>
    <v>1</v>
    <v>638229888000000000,638230928724590699,0</v>
    <v>0</v>
    <v>ahhfa2</v>
    <v>XNSE:CONCOR</v>
    <v>2</v>
  </rv>
  <rv s="5">
    <v>12</v>
    <v>ahjfbh</v>
    <v>Daily</v>
    <v>44735</v>
    <v>45100</v>
    <v>0</v>
    <v>1</v>
    <v>638229888000000000,638230928724602874,0</v>
    <v>0</v>
    <v>ahjfbh</v>
    <v>XNSE:PIDILITIND</v>
    <v>3</v>
  </rv>
  <rv s="5">
    <v>12</v>
    <v>ahiiyc</v>
    <v>Daily</v>
    <v>44735</v>
    <v>45100</v>
    <v>0</v>
    <v>1</v>
    <v>638229888000000000,638230928724603412,0</v>
    <v>0</v>
    <v>ahiiyc</v>
    <v>XNSE:JUBLFOOD</v>
    <v>4</v>
  </rv>
  <rv s="5">
    <v>12</v>
    <v>ahi62w</v>
    <v>Daily</v>
    <v>44735</v>
    <v>45100</v>
    <v>0</v>
    <v>1</v>
    <v>638229888000000000,638230928724582888,0</v>
    <v>0</v>
    <v>ahi62w</v>
    <v>XNSE:HINDUNILVR</v>
    <v>5</v>
  </rv>
  <rv s="5">
    <v>12</v>
    <v>ahju3m</v>
    <v>Daily</v>
    <v>44735</v>
    <v>45100</v>
    <v>0</v>
    <v>1</v>
    <v>638229888000000000,638230928724639261,0</v>
    <v>0</v>
    <v>ahju3m</v>
    <v>XNSE:SBILIFE</v>
    <v>6</v>
  </rv>
  <rv s="5">
    <v>12</v>
    <v>ahko5r</v>
    <v>Daily</v>
    <v>44735</v>
    <v>45100</v>
    <v>0</v>
    <v>1</v>
    <v>638229888000000000,638230928724609287,0</v>
    <v>0</v>
    <v>ahko5r</v>
    <v>XNSE:WHIRLPOOL</v>
    <v>7</v>
  </rv>
  <rv s="6">
    <v>13</v>
    <v>XNSE:LT</v>
    <v>Daily</v>
    <v>45070</v>
    <v>45100</v>
    <v>0</v>
    <v>1</v>
    <v>638229888000000000,638230928724606187,0</v>
    <v>8</v>
    <v>ahirxm</v>
    <v>XNSE:LT</v>
    <v>9</v>
    <v>10</v>
    <v>11</v>
    <v>12</v>
    <v>13</v>
  </rv>
  <rv s="5">
    <v>12</v>
    <v>XNSE:LT</v>
    <v>Daily</v>
    <v>44735</v>
    <v>45100</v>
    <v>0</v>
    <v>1</v>
    <v>638229888000000000,638230928724616174,0</v>
    <v>0</v>
    <v>ahirxm</v>
    <v>XNSE:LT</v>
    <v>14</v>
  </rv>
  <rv s="5">
    <v>12</v>
    <v>XNSE:DABUR</v>
    <v>Daily</v>
    <v>44735</v>
    <v>45100</v>
    <v>0</v>
    <v>1</v>
    <v>638229888000000000,638230928724586189,0</v>
    <v>0</v>
    <v>ahhhk2</v>
    <v>XNSE:DABUR</v>
    <v>15</v>
  </rv>
  <rv s="6">
    <v>13</v>
    <v>XNSE:DABUR</v>
    <v>Daily</v>
    <v>45070</v>
    <v>45100</v>
    <v>0</v>
    <v>1</v>
    <v>638229888000000000,638230928724596183,0</v>
    <v>8</v>
    <v>ahhhk2</v>
    <v>XNSE:DABUR</v>
    <v>16</v>
    <v>17</v>
    <v>18</v>
    <v>19</v>
    <v>20</v>
  </rv>
</rvData>
</file>

<file path=xl/richData/rdrichvaluestructure.xml><?xml version="1.0" encoding="utf-8"?>
<rvStructures xmlns="http://schemas.microsoft.com/office/spreadsheetml/2017/richdata" count="7">
  <s t="_linkedentitycore">
    <k n="%EntityCulture" t="s"/>
    <k n="%EntityId" t="s"/>
    <k n="%EntityServiceId"/>
    <k n="%IsRefreshable" t="b"/>
    <k n="%ProviderInfo" t="s"/>
    <k n="_Display" t="spb"/>
    <k n="_DisplayString" t="s"/>
    <k n="_Flags" t="spb"/>
    <k n="_Format" t="spb"/>
    <k n="_Icon" t="s"/>
    <k n="_SubLabel" t="spb"/>
    <k n="52 week high"/>
    <k n="52 week low"/>
    <k n="Change"/>
    <k n="Change (%)"/>
    <k n="Currency" t="s"/>
    <k n="From currency" t="s"/>
    <k n="High"/>
    <k n="Instrument type" t="s"/>
    <k n="Last trade time"/>
    <k n="Low"/>
    <k n="Name" t="s"/>
    <k n="Open"/>
    <k n="Previous close"/>
    <k n="Price"/>
    <k n="Ticker symbol" t="s"/>
    <k n="UniqueName" t="s"/>
  </s>
  <s t="_linkedentity">
    <k n="%cvi" t="r"/>
  </s>
  <s t="_formattednumber">
    <k n="_Format" t="spb"/>
  </s>
  <s t="_hyperlink">
    <k n="Address" t="s"/>
    <k n="Text" t="s"/>
  </s>
  <s t="_linkedentitycore">
    <k n="%EntityCulture" t="s"/>
    <k n="%EntityId" t="s"/>
    <k n="%EntityServiceId"/>
    <k n="%IsRefreshable" t="b"/>
    <k n="%ProviderInfo" t="s"/>
    <k n="_Display" t="spb"/>
    <k n="_DisplayString" t="s"/>
    <k n="_Flags" t="spb"/>
    <k n="_Format" t="spb"/>
    <k n="_Icon" t="s"/>
    <k n="_SubLabel" t="spb"/>
    <k n="52 week high"/>
    <k n="52 week low"/>
    <k n="Beta"/>
    <k n="Change"/>
    <k n="Change (%)"/>
    <k n="Currency" t="s"/>
    <k n="Description" t="s"/>
    <k n="Employees"/>
    <k n="Exchange" t="s"/>
    <k n="Exchange abbreviation" t="s"/>
    <k n="ExchangeID" t="s"/>
    <k n="Headquarters" t="s"/>
    <k n="High"/>
    <k n="Industry" t="s"/>
    <k n="Instrument type" t="s"/>
    <k n="Last trade time"/>
    <k n="LearnMoreOnLink" t="r"/>
    <k n="Low"/>
    <k n="Market cap"/>
    <k n="Name" t="s"/>
    <k n="Official name" t="s"/>
    <k n="Open"/>
    <k n="P/E"/>
    <k n="Previous close"/>
    <k n="Price"/>
    <k n="Shares outstanding"/>
    <k n="Ticker symbol" t="s"/>
    <k n="UniqueName" t="s"/>
    <k n="Volume"/>
    <k n="Volume average"/>
    <k n="Year incorporated"/>
  </s>
  <s t="_stockhistorycache">
    <k n="_Format" t="spb"/>
    <k n="Symbol" t="s"/>
    <k n="Interval" t="s"/>
    <k n="StartDate" t="i"/>
    <k n="EndDate" t="i"/>
    <k n="f1904" t="b"/>
    <k n="fdcompat" t="b"/>
    <k n="etag" t="s"/>
    <k n="Date" t="a"/>
    <k n="EntityId" t="s"/>
    <k n="Instrument" t="s"/>
    <k n="Close" t="a"/>
  </s>
  <s t="_stockhistorycache">
    <k n="_Format" t="spb"/>
    <k n="Symbol" t="s"/>
    <k n="Interval" t="s"/>
    <k n="StartDate" t="i"/>
    <k n="EndDate" t="i"/>
    <k n="f1904" t="b"/>
    <k n="fdcompat" t="b"/>
    <k n="etag" t="s"/>
    <k n="Date" t="a"/>
    <k n="EntityId" t="s"/>
    <k n="Instrument" t="s"/>
    <k n="Close" t="a"/>
    <k n="Open" t="a"/>
    <k n="High" t="a"/>
    <k n="Low" t="a"/>
    <k n="Volume" t="a"/>
  </s>
</rvStructures>
</file>

<file path=xl/richData/rdsupportingpropertybag.xml><?xml version="1.0" encoding="utf-8"?>
<supportingPropertyBags xmlns="http://schemas.microsoft.com/office/spreadsheetml/2017/richdata2">
  <spbArrays count="2">
    <a count="27">
      <v t="s">%EntityServiceId</v>
      <v t="s">_Format</v>
      <v t="s">%IsRefreshable</v>
      <v t="s">%EntityCulture</v>
      <v t="s">%EntityId</v>
      <v t="s">_Icon</v>
      <v t="s">_Display</v>
      <v t="s">Name</v>
      <v t="s">Price</v>
      <v t="s">_SubLabel</v>
      <v t="s">Last trade time</v>
      <v t="s">Ticker symbol</v>
      <v t="s">Change</v>
      <v t="s">Change (%)</v>
      <v t="s">Currency</v>
      <v t="s">From currency</v>
      <v t="s">Previous close</v>
      <v t="s">Open</v>
      <v t="s">High</v>
      <v t="s">Low</v>
      <v t="s">52 week high</v>
      <v t="s">52 week low</v>
      <v t="s">Instrument type</v>
      <v t="s">_Flags</v>
      <v t="s">UniqueName</v>
      <v t="s">_DisplayString</v>
      <v t="s">%ProviderInfo</v>
    </a>
    <a count="42">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LearnMoreOnLink</v>
      <v t="s">ExchangeID</v>
      <v t="s">%ProviderInfo</v>
    </a>
  </spbArrays>
  <spbData count="14">
    <spb s="0">
      <v>0</v>
      <v>Name</v>
    </spb>
    <spb s="1">
      <v>0</v>
      <v>0</v>
      <v>0</v>
    </spb>
    <spb s="2">
      <v>1</v>
      <v>1</v>
    </spb>
    <spb s="3">
      <v>1</v>
      <v>1</v>
      <v>2</v>
      <v>1</v>
      <v>1</v>
      <v>1</v>
      <v>3</v>
      <v>1</v>
      <v>1</v>
      <v>1</v>
      <v>4</v>
      <v>5</v>
    </spb>
    <spb s="4">
      <v>GMT</v>
    </spb>
    <spb s="5">
      <v>6</v>
    </spb>
    <spb s="6">
      <v>1</v>
      <v>Name</v>
      <v>LearnMoreOnLink</v>
    </spb>
    <spb s="7">
      <v>1</v>
      <v>1</v>
      <v>1</v>
      <v>1</v>
    </spb>
    <spb s="8">
      <v>1</v>
      <v>7</v>
      <v>7</v>
      <v>1</v>
      <v>2</v>
      <v>1</v>
      <v>1</v>
      <v>1</v>
      <v>8</v>
      <v>8</v>
      <v>3</v>
      <v>9</v>
      <v>1</v>
      <v>1</v>
      <v>1</v>
      <v>8</v>
      <v>4</v>
      <v>10</v>
      <v>5</v>
      <v>8</v>
    </spb>
    <spb s="9">
      <v>Delayed 5 minutes</v>
      <v>from previous close</v>
      <v>from previous close</v>
      <v>GMT</v>
    </spb>
    <spb s="5">
      <v>1</v>
    </spb>
    <spb s="5">
      <v>8</v>
    </spb>
    <spb s="10">
      <v>6</v>
      <v>1</v>
    </spb>
    <spb s="11">
      <v>1</v>
      <v>6</v>
      <v>1</v>
      <v>1</v>
      <v>1</v>
      <v>8</v>
    </spb>
  </spbData>
</supportingPropertyBags>
</file>

<file path=xl/richData/rdsupportingpropertybagstructure.xml><?xml version="1.0" encoding="utf-8"?>
<spbStructures xmlns="http://schemas.microsoft.com/office/spreadsheetml/2017/richdata2" count="12">
  <s>
    <k n="^Order" t="spba"/>
    <k n="TitleProperty" t="s"/>
  </s>
  <s>
    <k n="ShowInCardView" t="b"/>
    <k n="ShowInDotNotation" t="b"/>
    <k n="ShowInAutoComplete" t="b"/>
  </s>
  <s>
    <k n="UniqueName" t="spb"/>
    <k n="`%ProviderInfo" t="spb"/>
  </s>
  <s>
    <k n="Low" t="i"/>
    <k n="High" t="i"/>
    <k n="Name" t="i"/>
    <k n="Open" t="i"/>
    <k n="Price" t="i"/>
    <k n="Change" t="i"/>
    <k n="Change (%)" t="i"/>
    <k n="52 week low" t="i"/>
    <k n="52 week high" t="i"/>
    <k n="Previous close" t="i"/>
    <k n="Last trade time" t="i"/>
    <k n="`%EntityServiceId" t="i"/>
  </s>
  <s>
    <k n="Last trade time" t="s"/>
  </s>
  <s>
    <k n="_Self" t="i"/>
  </s>
  <s>
    <k n="^Order" t="spba"/>
    <k n="TitleProperty" t="s"/>
    <k n="SubTitleProperty" t="s"/>
  </s>
  <s>
    <k n="ExchangeID" t="spb"/>
    <k n="UniqueName" t="spb"/>
    <k n="`%ProviderInfo" t="spb"/>
    <k n="LearnMoreOnLink" t="spb"/>
  </s>
  <s>
    <k n="Low" t="i"/>
    <k n="P/E" t="i"/>
    <k n="Beta" t="i"/>
    <k n="High" t="i"/>
    <k n="Name" t="i"/>
    <k n="Open" t="i"/>
    <k n="Price" t="i"/>
    <k n="Change" t="i"/>
    <k n="Volume" t="i"/>
    <k n="Employees" t="i"/>
    <k n="Change (%)" t="i"/>
    <k n="Market cap" t="i"/>
    <k n="52 week low" t="i"/>
    <k n="52 week high" t="i"/>
    <k n="Previous close" t="i"/>
    <k n="Volume average" t="i"/>
    <k n="Last trade time" t="i"/>
    <k n="Year incorporated" t="i"/>
    <k n="`%EntityServiceId" t="i"/>
    <k n="Shares outstanding" t="i"/>
  </s>
  <s>
    <k n="Price" t="s"/>
    <k n="Change" t="s"/>
    <k n="Change (%)" t="s"/>
    <k n="Last trade time" t="s"/>
  </s>
  <s>
    <k n="Date" t="i"/>
    <k n="Close" t="i"/>
  </s>
  <s>
    <k n="Low" t="i"/>
    <k n="Date" t="i"/>
    <k n="High" t="i"/>
    <k n="Open" t="i"/>
    <k n="Close" t="i"/>
    <k n="Volume" t="i"/>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8">
    <x:dxf>
      <x:numFmt numFmtId="2" formatCode="0.00"/>
    </x:dxf>
    <x:dxf>
      <x:numFmt numFmtId="0" formatCode="General"/>
    </x:dxf>
    <x:dxf>
      <x:numFmt numFmtId="27" formatCode="dd/mm/yyyy\ hh:mm"/>
    </x:dxf>
    <x:dxf>
      <x:numFmt numFmtId="14" formatCode="0.00%"/>
    </x:dxf>
    <x:dxf>
      <x:numFmt numFmtId="3" formatCode="#,##0"/>
    </x:dxf>
    <x:dxf>
      <x:numFmt numFmtId="4" formatCode="#,##0.00"/>
    </x:dxf>
    <x:dxf>
      <x:numFmt numFmtId="1" formatCode="0"/>
    </x:dxf>
    <x:dxf>
      <x:numFmt numFmtId="19" formatCode="dd/mm/yyyy"/>
    </x:dxf>
  </dxfs>
  <richProperties>
    <rPr n="NumberFormat" t="s"/>
    <rPr n="IsTitleField" t="b"/>
  </richProperties>
  <richStyles>
    <rSty dxfid="1">
      <rpv i="0" xml:space="preserve">_ [$₹-en-IN] * #,##0.00_ ;_ [$₹-en-IN] * -#,##0.00_ ;_ [$₹-en-IN] * "-"??_ ;_ @_ </rpv>
    </rSty>
    <rSty>
      <rpv i="1">1</rpv>
    </rSty>
    <rSty dxfid="3"/>
    <rSty dxfid="2"/>
    <rSty dxfid="0">
      <rpv i="0">0.00</rpv>
    </rSty>
    <rSty dxfid="7"/>
    <rSty dxfid="5">
      <rpv i="0">#,##0.00</rpv>
    </rSty>
    <rSty dxfid="4">
      <rpv i="0">#,##0</rpv>
    </rSty>
    <rSty dxfid="1">
      <rpv i="0" xml:space="preserve">_ [$₹-en-IN] * #,##0_ ;_ [$₹-en-IN] * -#,##0_ ;_ [$₹-en-IN] * "-"_ ;_ @_ </rpv>
    </rSty>
    <rSty dxfid="6">
      <rpv i="0">0</rpv>
    </rSty>
  </richStyles>
</richStyleShee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59298CA-1EA4-4E89-9E11-500666114F2D}" name="Table2" displayName="Table2" ref="A1:H3" totalsRowShown="0">
  <autoFilter ref="A1:H3" xr:uid="{759298CA-1EA4-4E89-9E11-500666114F2D}"/>
  <tableColumns count="8">
    <tableColumn id="1" xr3:uid="{B216142F-685F-43E1-83B5-38A1E9B42DFD}" name="Stock"/>
    <tableColumn id="2" xr3:uid="{B11BEC26-1447-4232-9669-7E69A1B78C5B}" name="Stock Exchange" dataDxfId="11">
      <calculatedColumnFormula array="1">_FV(Table2[[#This Row],[Stock]],"Exchange abbreviation",TRUE)</calculatedColumnFormula>
    </tableColumn>
    <tableColumn id="3" xr3:uid="{14B427D7-49AC-4E7C-995E-26FB47A9D546}" name="Ticker symbol">
      <calculatedColumnFormula array="1">_FV(Table2[[#This Row],[Stock]],"Ticker symbol",TRUE)</calculatedColumnFormula>
    </tableColumn>
    <tableColumn id="4" xr3:uid="{47913703-06BE-4A0E-A4E2-ED3FE4ABEF57}" name="52 week high" dataDxfId="10">
      <calculatedColumnFormula array="1">_FV(Table2[[#This Row],[Stock]],"52 week high",TRUE)</calculatedColumnFormula>
    </tableColumn>
    <tableColumn id="5" xr3:uid="{70EE3DBC-62A3-4BD0-B2CB-086BDF51F8B6}" name="52 week low" dataDxfId="9">
      <calculatedColumnFormula array="1">_FV(Table2[[#This Row],[Stock]],"52 week low",TRUE)</calculatedColumnFormula>
    </tableColumn>
    <tableColumn id="6" xr3:uid="{B88F9E95-0567-43C0-A1F5-CD760E2D1D58}" name="Price" dataDxfId="8">
      <calculatedColumnFormula array="1">_FV(Table2[[#This Row],[Stock]],"Price")</calculatedColumnFormula>
    </tableColumn>
    <tableColumn id="7" xr3:uid="{12742BE2-AED2-4D10-807C-CDA8CF754CA8}" name="P/E" dataDxfId="7">
      <calculatedColumnFormula array="1">_FV(Table2[[#This Row],[Stock]],"P/E",TRUE)</calculatedColumnFormula>
    </tableColumn>
    <tableColumn id="8" xr3:uid="{B022849A-574B-40F8-940C-3EED31F40109}" name="Change" dataDxfId="6">
      <calculatedColumnFormula array="1">_FV(Table2[[#This Row],[Stock]],"Change")</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B58E102-23A5-4366-B3AD-7AB172AB053A}" name="Ledger" displayName="Ledger" ref="A1:E8" totalsRowShown="0" tableBorderDxfId="5">
  <autoFilter ref="A1:E8" xr:uid="{AB58E102-23A5-4366-B3AD-7AB172AB053A}"/>
  <tableColumns count="5">
    <tableColumn id="1" xr3:uid="{95B01397-A1AA-416F-AC51-29F50B6EC279}" name="StockTicker" dataDxfId="4"/>
    <tableColumn id="3" xr3:uid="{AF350BAC-0C47-44A1-B6EA-91C73B43E1AC}" name="Type" dataDxfId="3"/>
    <tableColumn id="4" xr3:uid="{CE52E69D-B96F-4535-8483-1F4175908116}" name="Quantity" dataDxfId="2"/>
    <tableColumn id="5" xr3:uid="{68D41630-ABD6-4685-BDBA-032158ADD5F6}" name="Price" dataDxfId="1"/>
    <tableColumn id="6" xr3:uid="{E52B0BF5-F161-46B0-9C07-21C567991B0F}" name="Column1" dataDxfId="0">
      <calculatedColumnFormula array="1">_FV(Ledger[[#This Row],[StockTicker]],"52 week high",TRUE)</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ABBE62-ABBA-4836-9EA5-7D183A50097D}">
  <dimension ref="A1:IY21"/>
  <sheetViews>
    <sheetView showGridLines="0" tabSelected="1" workbookViewId="0">
      <selection activeCell="A2" sqref="A2"/>
    </sheetView>
  </sheetViews>
  <sheetFormatPr defaultRowHeight="14.4" x14ac:dyDescent="0.3"/>
  <cols>
    <col min="1" max="1" width="59" customWidth="1"/>
    <col min="2" max="2" width="36.88671875" customWidth="1"/>
    <col min="3" max="3" width="8.88671875" customWidth="1"/>
    <col min="4" max="4" width="15.5546875" customWidth="1"/>
    <col min="5" max="6" width="13" customWidth="1"/>
    <col min="7" max="7" width="29.44140625" customWidth="1"/>
    <col min="8" max="8" width="12" bestFit="1" customWidth="1"/>
    <col min="12" max="12" width="11.21875" customWidth="1"/>
  </cols>
  <sheetData>
    <row r="1" spans="1:259" s="18" customFormat="1" x14ac:dyDescent="0.3">
      <c r="A1" s="10"/>
      <c r="B1" s="10"/>
      <c r="C1" s="10"/>
      <c r="D1" s="10" t="s">
        <v>42</v>
      </c>
      <c r="E1" s="10"/>
      <c r="F1" s="10" t="s">
        <v>43</v>
      </c>
      <c r="G1" s="10"/>
      <c r="H1" s="10" t="e" vm="1">
        <v>#VALUE!</v>
      </c>
      <c r="I1" s="10"/>
      <c r="J1" s="10"/>
    </row>
    <row r="2" spans="1:259" s="18" customFormat="1" ht="25.8" x14ac:dyDescent="0.5">
      <c r="A2" s="9" t="s">
        <v>0</v>
      </c>
      <c r="B2" s="9"/>
      <c r="C2" s="10"/>
      <c r="D2" s="11">
        <f>SUM(G5:G11)</f>
        <v>234919.85</v>
      </c>
      <c r="E2" s="12"/>
      <c r="F2" s="16">
        <f>SUM(H5:H11)</f>
        <v>1074.0499999999956</v>
      </c>
      <c r="G2" s="10"/>
      <c r="H2" s="17" t="str" cm="1">
        <f t="array" ref="H2">TEXT(_FV(H1,"Price"), IF(_FV(H1,"Price")-_FV(H1,"Previous close",TRUE)&gt;0, "₹ 0.0000▲", "₹ 0.0000▲"))</f>
        <v>₹ 82.0325▲</v>
      </c>
      <c r="I2" s="10"/>
      <c r="J2" s="10"/>
    </row>
    <row r="3" spans="1:259" s="18" customFormat="1" ht="18" x14ac:dyDescent="0.35">
      <c r="A3" s="20" t="s">
        <v>1</v>
      </c>
      <c r="B3" s="20"/>
      <c r="C3" s="20"/>
      <c r="D3" s="20"/>
      <c r="E3" s="20"/>
      <c r="F3" s="20"/>
      <c r="G3" s="20"/>
      <c r="H3" s="20"/>
      <c r="I3" s="20"/>
      <c r="J3" s="20"/>
    </row>
    <row r="4" spans="1:259" s="7" customFormat="1" ht="43.2" x14ac:dyDescent="0.3">
      <c r="A4" s="7" t="s">
        <v>2</v>
      </c>
      <c r="B4" s="7" t="s">
        <v>34</v>
      </c>
      <c r="C4" s="7" t="s">
        <v>30</v>
      </c>
      <c r="D4" s="7" t="s">
        <v>35</v>
      </c>
      <c r="E4" s="7" t="s">
        <v>36</v>
      </c>
      <c r="F4" s="7" t="s">
        <v>39</v>
      </c>
      <c r="G4" s="7" t="s">
        <v>37</v>
      </c>
      <c r="H4" s="7" t="s">
        <v>38</v>
      </c>
      <c r="I4" s="7" t="s">
        <v>40</v>
      </c>
      <c r="J4" s="7" t="s">
        <v>41</v>
      </c>
      <c r="L4" cm="1" vm="2">
        <f t="array" aca="1" ref="L4:IY5" ca="1">TRANSPOSE(_xlfn.STOCKHISTORY(A5, TODAY()-365,TODAY(),0,0,0,1))</f>
        <v>44735</v>
      </c>
      <c r="M4" s="7" vm="3">
        <f ca="1"/>
        <v>44736</v>
      </c>
      <c r="N4" s="7" vm="4">
        <f ca="1"/>
        <v>44739</v>
      </c>
      <c r="O4" s="7" vm="5">
        <f ca="1"/>
        <v>44740</v>
      </c>
      <c r="P4" s="7" vm="6">
        <f ca="1"/>
        <v>44741</v>
      </c>
      <c r="Q4" s="7" vm="7">
        <f ca="1"/>
        <v>44742</v>
      </c>
      <c r="R4" s="7" vm="8">
        <f ca="1"/>
        <v>44743</v>
      </c>
      <c r="S4" s="7" vm="9">
        <f ca="1"/>
        <v>44746</v>
      </c>
      <c r="T4" s="7" vm="10">
        <f ca="1"/>
        <v>44747</v>
      </c>
      <c r="U4" s="7" vm="11">
        <f ca="1"/>
        <v>44748</v>
      </c>
      <c r="V4" s="7" vm="12">
        <f ca="1"/>
        <v>44749</v>
      </c>
      <c r="W4" s="7" vm="13">
        <f ca="1"/>
        <v>44750</v>
      </c>
      <c r="X4" s="7" vm="14">
        <f ca="1"/>
        <v>44753</v>
      </c>
      <c r="Y4" s="7" vm="15">
        <f ca="1"/>
        <v>44754</v>
      </c>
      <c r="Z4" s="7" vm="16">
        <f ca="1"/>
        <v>44755</v>
      </c>
      <c r="AA4" s="7" vm="17">
        <f ca="1"/>
        <v>44756</v>
      </c>
      <c r="AB4" s="7" vm="18">
        <f ca="1"/>
        <v>44757</v>
      </c>
      <c r="AC4" s="7" vm="19">
        <f ca="1"/>
        <v>44760</v>
      </c>
      <c r="AD4" s="7" vm="20">
        <f ca="1"/>
        <v>44761</v>
      </c>
      <c r="AE4" s="7" vm="21">
        <f ca="1"/>
        <v>44762</v>
      </c>
      <c r="AF4" s="7" vm="22">
        <f ca="1"/>
        <v>44763</v>
      </c>
      <c r="AG4" s="7" vm="23">
        <f ca="1"/>
        <v>44764</v>
      </c>
      <c r="AH4" s="7" vm="24">
        <f ca="1"/>
        <v>44767</v>
      </c>
      <c r="AI4" s="7" vm="25">
        <f ca="1"/>
        <v>44768</v>
      </c>
      <c r="AJ4" s="7" vm="26">
        <f ca="1"/>
        <v>44769</v>
      </c>
      <c r="AK4" s="7" vm="27">
        <f ca="1"/>
        <v>44770</v>
      </c>
      <c r="AL4" s="7" vm="28">
        <f ca="1"/>
        <v>44771</v>
      </c>
      <c r="AM4" s="7" vm="29">
        <f ca="1"/>
        <v>44774</v>
      </c>
      <c r="AN4" s="7" vm="30">
        <f ca="1"/>
        <v>44775</v>
      </c>
      <c r="AO4" s="7" vm="31">
        <f ca="1"/>
        <v>44776</v>
      </c>
      <c r="AP4" s="7" vm="32">
        <f ca="1"/>
        <v>44777</v>
      </c>
      <c r="AQ4" s="7" vm="33">
        <f ca="1"/>
        <v>44778</v>
      </c>
      <c r="AR4" s="7" vm="34">
        <f ca="1"/>
        <v>44781</v>
      </c>
      <c r="AS4" s="7" vm="35">
        <f ca="1"/>
        <v>44783</v>
      </c>
      <c r="AT4" s="7" vm="36">
        <f ca="1"/>
        <v>44784</v>
      </c>
      <c r="AU4" s="7" vm="37">
        <f ca="1"/>
        <v>44785</v>
      </c>
      <c r="AV4" s="7" vm="38">
        <f ca="1"/>
        <v>44789</v>
      </c>
      <c r="AW4" s="7" vm="39">
        <f ca="1"/>
        <v>44790</v>
      </c>
      <c r="AX4" s="7" vm="40">
        <f ca="1"/>
        <v>44791</v>
      </c>
      <c r="AY4" s="7" vm="41">
        <f ca="1"/>
        <v>44792</v>
      </c>
      <c r="AZ4" s="7" vm="42">
        <f ca="1"/>
        <v>44795</v>
      </c>
      <c r="BA4" s="7" vm="43">
        <f ca="1"/>
        <v>44796</v>
      </c>
      <c r="BB4" s="7" vm="44">
        <f ca="1"/>
        <v>44797</v>
      </c>
      <c r="BC4" s="7" vm="45">
        <f ca="1"/>
        <v>44798</v>
      </c>
      <c r="BD4" s="7" vm="46">
        <f ca="1"/>
        <v>44799</v>
      </c>
      <c r="BE4" s="7" vm="47">
        <f ca="1"/>
        <v>44802</v>
      </c>
      <c r="BF4" s="7" vm="48">
        <f ca="1"/>
        <v>44803</v>
      </c>
      <c r="BG4" s="7" vm="49">
        <f ca="1"/>
        <v>44805</v>
      </c>
      <c r="BH4" s="7" vm="50">
        <f ca="1"/>
        <v>44806</v>
      </c>
      <c r="BI4" s="7" vm="51">
        <f ca="1"/>
        <v>44809</v>
      </c>
      <c r="BJ4" s="7" vm="52">
        <f ca="1"/>
        <v>44810</v>
      </c>
      <c r="BK4" s="7" vm="53">
        <f ca="1"/>
        <v>44811</v>
      </c>
      <c r="BL4" s="7" vm="54">
        <f ca="1"/>
        <v>44812</v>
      </c>
      <c r="BM4" s="7" vm="55">
        <f ca="1"/>
        <v>44813</v>
      </c>
      <c r="BN4" s="7" vm="56">
        <f ca="1"/>
        <v>44816</v>
      </c>
      <c r="BO4" s="7" vm="57">
        <f ca="1"/>
        <v>44817</v>
      </c>
      <c r="BP4" s="7" vm="58">
        <f ca="1"/>
        <v>44818</v>
      </c>
      <c r="BQ4" s="7" vm="59">
        <f ca="1"/>
        <v>44819</v>
      </c>
      <c r="BR4" s="7" vm="60">
        <f ca="1"/>
        <v>44820</v>
      </c>
      <c r="BS4" s="7" vm="61">
        <f ca="1"/>
        <v>44823</v>
      </c>
      <c r="BT4" s="7" vm="62">
        <f ca="1"/>
        <v>44824</v>
      </c>
      <c r="BU4" s="7" vm="63">
        <f ca="1"/>
        <v>44825</v>
      </c>
      <c r="BV4" s="7" vm="64">
        <f ca="1"/>
        <v>44826</v>
      </c>
      <c r="BW4" s="7" vm="65">
        <f ca="1"/>
        <v>44827</v>
      </c>
      <c r="BX4" s="7" vm="66">
        <f ca="1"/>
        <v>44830</v>
      </c>
      <c r="BY4" s="7" vm="67">
        <f ca="1"/>
        <v>44831</v>
      </c>
      <c r="BZ4" s="7" vm="68">
        <f ca="1"/>
        <v>44832</v>
      </c>
      <c r="CA4" s="7" vm="69">
        <f ca="1"/>
        <v>44833</v>
      </c>
      <c r="CB4" s="7" vm="70">
        <f ca="1"/>
        <v>44834</v>
      </c>
      <c r="CC4" s="7" vm="71">
        <f ca="1"/>
        <v>44837</v>
      </c>
      <c r="CD4" s="7" vm="72">
        <f ca="1"/>
        <v>44838</v>
      </c>
      <c r="CE4" s="7" vm="73">
        <f ca="1"/>
        <v>44840</v>
      </c>
      <c r="CF4" s="7" vm="74">
        <f ca="1"/>
        <v>44841</v>
      </c>
      <c r="CG4" s="7" vm="75">
        <f ca="1"/>
        <v>44844</v>
      </c>
      <c r="CH4" s="7" vm="76">
        <f ca="1"/>
        <v>44845</v>
      </c>
      <c r="CI4" s="7" vm="77">
        <f ca="1"/>
        <v>44846</v>
      </c>
      <c r="CJ4" s="7" vm="78">
        <f ca="1"/>
        <v>44847</v>
      </c>
      <c r="CK4" s="7" vm="79">
        <f ca="1"/>
        <v>44848</v>
      </c>
      <c r="CL4" s="7" vm="80">
        <f ca="1"/>
        <v>44851</v>
      </c>
      <c r="CM4" s="7" vm="81">
        <f ca="1"/>
        <v>44852</v>
      </c>
      <c r="CN4" s="7" vm="82">
        <f ca="1"/>
        <v>44853</v>
      </c>
      <c r="CO4" s="7" vm="83">
        <f ca="1"/>
        <v>44854</v>
      </c>
      <c r="CP4" s="7" vm="84">
        <f ca="1"/>
        <v>44855</v>
      </c>
      <c r="CQ4" s="7" vm="85">
        <f ca="1"/>
        <v>44858</v>
      </c>
      <c r="CR4" s="7" vm="86">
        <f ca="1"/>
        <v>44859</v>
      </c>
      <c r="CS4" s="7" vm="87">
        <f ca="1"/>
        <v>44861</v>
      </c>
      <c r="CT4" s="7" vm="88">
        <f ca="1"/>
        <v>44862</v>
      </c>
      <c r="CU4" s="7" vm="89">
        <f ca="1"/>
        <v>44865</v>
      </c>
      <c r="CV4" s="7" vm="90">
        <f ca="1"/>
        <v>44866</v>
      </c>
      <c r="CW4" s="7" vm="91">
        <f ca="1"/>
        <v>44867</v>
      </c>
      <c r="CX4" s="7" vm="92">
        <f ca="1"/>
        <v>44868</v>
      </c>
      <c r="CY4" s="7" vm="93">
        <f ca="1"/>
        <v>44869</v>
      </c>
      <c r="CZ4" s="7" vm="94">
        <f ca="1"/>
        <v>44872</v>
      </c>
      <c r="DA4" s="7" vm="95">
        <f ca="1"/>
        <v>44874</v>
      </c>
      <c r="DB4" s="7" vm="96">
        <f ca="1"/>
        <v>44875</v>
      </c>
      <c r="DC4" s="7" vm="97">
        <f ca="1"/>
        <v>44876</v>
      </c>
      <c r="DD4" s="7" vm="98">
        <f ca="1"/>
        <v>44879</v>
      </c>
      <c r="DE4" s="7" vm="99">
        <f ca="1"/>
        <v>44880</v>
      </c>
      <c r="DF4" s="7" vm="100">
        <f ca="1"/>
        <v>44881</v>
      </c>
      <c r="DG4" s="7" vm="101">
        <f ca="1"/>
        <v>44882</v>
      </c>
      <c r="DH4" s="7" vm="102">
        <f ca="1"/>
        <v>44883</v>
      </c>
      <c r="DI4" s="7" vm="103">
        <f ca="1"/>
        <v>44886</v>
      </c>
      <c r="DJ4" s="7" vm="104">
        <f ca="1"/>
        <v>44887</v>
      </c>
      <c r="DK4" s="7" vm="105">
        <f ca="1"/>
        <v>44888</v>
      </c>
      <c r="DL4" s="7" vm="106">
        <f ca="1"/>
        <v>44889</v>
      </c>
      <c r="DM4" s="7" vm="107">
        <f ca="1"/>
        <v>44890</v>
      </c>
      <c r="DN4" s="7" vm="108">
        <f ca="1"/>
        <v>44893</v>
      </c>
      <c r="DO4" s="7" vm="109">
        <f ca="1"/>
        <v>44894</v>
      </c>
      <c r="DP4" s="7" vm="110">
        <f ca="1"/>
        <v>44895</v>
      </c>
      <c r="DQ4" s="7" vm="111">
        <f ca="1"/>
        <v>44896</v>
      </c>
      <c r="DR4" s="7" vm="112">
        <f ca="1"/>
        <v>44897</v>
      </c>
      <c r="DS4" s="7" vm="113">
        <f ca="1"/>
        <v>44900</v>
      </c>
      <c r="DT4" s="7" vm="114">
        <f ca="1"/>
        <v>44901</v>
      </c>
      <c r="DU4" s="7" vm="115">
        <f ca="1"/>
        <v>44902</v>
      </c>
      <c r="DV4" s="7" vm="116">
        <f ca="1"/>
        <v>44903</v>
      </c>
      <c r="DW4" s="7" vm="117">
        <f ca="1"/>
        <v>44904</v>
      </c>
      <c r="DX4" s="7" vm="118">
        <f ca="1"/>
        <v>44907</v>
      </c>
      <c r="DY4" s="7" vm="119">
        <f ca="1"/>
        <v>44908</v>
      </c>
      <c r="DZ4" s="7" vm="120">
        <f ca="1"/>
        <v>44909</v>
      </c>
      <c r="EA4" s="7" vm="121">
        <f ca="1"/>
        <v>44910</v>
      </c>
      <c r="EB4" s="7" vm="122">
        <f ca="1"/>
        <v>44911</v>
      </c>
      <c r="EC4" s="7" vm="123">
        <f ca="1"/>
        <v>44914</v>
      </c>
      <c r="ED4" s="7" vm="124">
        <f ca="1"/>
        <v>44915</v>
      </c>
      <c r="EE4" s="7" vm="125">
        <f ca="1"/>
        <v>44916</v>
      </c>
      <c r="EF4" s="7" vm="126">
        <f ca="1"/>
        <v>44917</v>
      </c>
      <c r="EG4" s="7" vm="127">
        <f ca="1"/>
        <v>44918</v>
      </c>
      <c r="EH4" s="7" vm="128">
        <f ca="1"/>
        <v>44921</v>
      </c>
      <c r="EI4" s="7" vm="129">
        <f ca="1"/>
        <v>44922</v>
      </c>
      <c r="EJ4" s="7" vm="130">
        <f ca="1"/>
        <v>44923</v>
      </c>
      <c r="EK4" s="7" vm="131">
        <f ca="1"/>
        <v>44924</v>
      </c>
      <c r="EL4" s="7" vm="132">
        <f ca="1"/>
        <v>44925</v>
      </c>
      <c r="EM4" s="7" vm="133">
        <f ca="1"/>
        <v>44928</v>
      </c>
      <c r="EN4" s="7" vm="134">
        <f ca="1"/>
        <v>44929</v>
      </c>
      <c r="EO4" s="7" vm="135">
        <f ca="1"/>
        <v>44930</v>
      </c>
      <c r="EP4" s="7" vm="136">
        <f ca="1"/>
        <v>44931</v>
      </c>
      <c r="EQ4" s="7" vm="137">
        <f ca="1"/>
        <v>44932</v>
      </c>
      <c r="ER4" s="7" vm="138">
        <f ca="1"/>
        <v>44935</v>
      </c>
      <c r="ES4" s="7" vm="139">
        <f ca="1"/>
        <v>44936</v>
      </c>
      <c r="ET4" s="7" vm="140">
        <f ca="1"/>
        <v>44937</v>
      </c>
      <c r="EU4" s="7" vm="141">
        <f ca="1"/>
        <v>44938</v>
      </c>
      <c r="EV4" s="7" vm="142">
        <f ca="1"/>
        <v>44939</v>
      </c>
      <c r="EW4" s="7" vm="143">
        <f ca="1"/>
        <v>44942</v>
      </c>
      <c r="EX4" s="7" vm="144">
        <f ca="1"/>
        <v>44943</v>
      </c>
      <c r="EY4" s="7" vm="145">
        <f ca="1"/>
        <v>44944</v>
      </c>
      <c r="EZ4" s="7" vm="146">
        <f ca="1"/>
        <v>44945</v>
      </c>
      <c r="FA4" s="7" vm="147">
        <f ca="1"/>
        <v>44946</v>
      </c>
      <c r="FB4" s="7" vm="148">
        <f ca="1"/>
        <v>44949</v>
      </c>
      <c r="FC4" s="7" vm="149">
        <f ca="1"/>
        <v>44950</v>
      </c>
      <c r="FD4" s="7" vm="150">
        <f ca="1"/>
        <v>44951</v>
      </c>
      <c r="FE4" s="7" vm="151">
        <f ca="1"/>
        <v>44953</v>
      </c>
      <c r="FF4" s="7" vm="152">
        <f ca="1"/>
        <v>44956</v>
      </c>
      <c r="FG4" s="7" vm="153">
        <f ca="1"/>
        <v>44957</v>
      </c>
      <c r="FH4" s="7" vm="154">
        <f ca="1"/>
        <v>44958</v>
      </c>
      <c r="FI4" s="7" vm="155">
        <f ca="1"/>
        <v>44959</v>
      </c>
      <c r="FJ4" s="7" vm="156">
        <f ca="1"/>
        <v>44960</v>
      </c>
      <c r="FK4" s="7" vm="157">
        <f ca="1"/>
        <v>44963</v>
      </c>
      <c r="FL4" s="7" vm="158">
        <f ca="1"/>
        <v>44964</v>
      </c>
      <c r="FM4" s="7" vm="159">
        <f ca="1"/>
        <v>44965</v>
      </c>
      <c r="FN4" s="7" vm="160">
        <f ca="1"/>
        <v>44966</v>
      </c>
      <c r="FO4" s="7" vm="161">
        <f ca="1"/>
        <v>44967</v>
      </c>
      <c r="FP4" s="7" vm="162">
        <f ca="1"/>
        <v>44970</v>
      </c>
      <c r="FQ4" s="7" vm="163">
        <f ca="1"/>
        <v>44971</v>
      </c>
      <c r="FR4" s="7" vm="164">
        <f ca="1"/>
        <v>44972</v>
      </c>
      <c r="FS4" s="7" vm="165">
        <f ca="1"/>
        <v>44973</v>
      </c>
      <c r="FT4" s="7" vm="166">
        <f ca="1"/>
        <v>44974</v>
      </c>
      <c r="FU4" s="7" vm="167">
        <f ca="1"/>
        <v>44977</v>
      </c>
      <c r="FV4" s="7" vm="168">
        <f ca="1"/>
        <v>44978</v>
      </c>
      <c r="FW4" s="7" vm="169">
        <f ca="1"/>
        <v>44979</v>
      </c>
      <c r="FX4" s="7" vm="170">
        <f ca="1"/>
        <v>44980</v>
      </c>
      <c r="FY4" s="7" vm="171">
        <f ca="1"/>
        <v>44981</v>
      </c>
      <c r="FZ4" s="7" vm="172">
        <f ca="1"/>
        <v>44984</v>
      </c>
      <c r="GA4" s="7" vm="173">
        <f ca="1"/>
        <v>44985</v>
      </c>
      <c r="GB4" s="7" vm="174">
        <f ca="1"/>
        <v>44986</v>
      </c>
      <c r="GC4" s="7" vm="175">
        <f ca="1"/>
        <v>44987</v>
      </c>
      <c r="GD4" s="7" vm="176">
        <f ca="1"/>
        <v>44988</v>
      </c>
      <c r="GE4" s="7" vm="177">
        <f ca="1"/>
        <v>44991</v>
      </c>
      <c r="GF4" s="7" vm="178">
        <f ca="1"/>
        <v>44993</v>
      </c>
      <c r="GG4" s="7" vm="179">
        <f ca="1"/>
        <v>44994</v>
      </c>
      <c r="GH4" s="7" vm="180">
        <f ca="1"/>
        <v>44995</v>
      </c>
      <c r="GI4" s="7" vm="181">
        <f ca="1"/>
        <v>44998</v>
      </c>
      <c r="GJ4" s="7" vm="182">
        <f ca="1"/>
        <v>44999</v>
      </c>
      <c r="GK4" s="7" vm="183">
        <f ca="1"/>
        <v>45000</v>
      </c>
      <c r="GL4" s="7" vm="184">
        <f ca="1"/>
        <v>45001</v>
      </c>
      <c r="GM4" s="7" vm="185">
        <f ca="1"/>
        <v>45002</v>
      </c>
      <c r="GN4" s="7" vm="186">
        <f ca="1"/>
        <v>45005</v>
      </c>
      <c r="GO4" s="7" vm="187">
        <f ca="1"/>
        <v>45006</v>
      </c>
      <c r="GP4" s="7" vm="188">
        <f ca="1"/>
        <v>45007</v>
      </c>
      <c r="GQ4" s="7" vm="189">
        <f ca="1"/>
        <v>45008</v>
      </c>
      <c r="GR4" s="7" vm="190">
        <f ca="1"/>
        <v>45009</v>
      </c>
      <c r="GS4" s="7" vm="191">
        <f ca="1"/>
        <v>45012</v>
      </c>
      <c r="GT4" s="7" vm="192">
        <f ca="1"/>
        <v>45013</v>
      </c>
      <c r="GU4" s="7" vm="193">
        <f ca="1"/>
        <v>45014</v>
      </c>
      <c r="GV4" s="7" vm="194">
        <f ca="1"/>
        <v>45016</v>
      </c>
      <c r="GW4" s="7" vm="195">
        <f ca="1"/>
        <v>45019</v>
      </c>
      <c r="GX4" s="7" vm="196">
        <f ca="1"/>
        <v>45021</v>
      </c>
      <c r="GY4" s="7" vm="197">
        <f ca="1"/>
        <v>45022</v>
      </c>
      <c r="GZ4" s="7" vm="198">
        <f ca="1"/>
        <v>45026</v>
      </c>
      <c r="HA4" s="7" vm="199">
        <f ca="1"/>
        <v>45027</v>
      </c>
      <c r="HB4" s="7" vm="200">
        <f ca="1"/>
        <v>45028</v>
      </c>
      <c r="HC4" s="7" vm="201">
        <f ca="1"/>
        <v>45029</v>
      </c>
      <c r="HD4" s="7" vm="202">
        <f ca="1"/>
        <v>45033</v>
      </c>
      <c r="HE4" s="7" vm="203">
        <f ca="1"/>
        <v>45034</v>
      </c>
      <c r="HF4" s="7" vm="204">
        <f ca="1"/>
        <v>45035</v>
      </c>
      <c r="HG4" s="7" vm="205">
        <f ca="1"/>
        <v>45036</v>
      </c>
      <c r="HH4" s="7" vm="206">
        <f ca="1"/>
        <v>45037</v>
      </c>
      <c r="HI4" s="7" vm="207">
        <f ca="1"/>
        <v>45040</v>
      </c>
      <c r="HJ4" s="7" vm="208">
        <f ca="1"/>
        <v>45041</v>
      </c>
      <c r="HK4" s="7" vm="209">
        <f ca="1"/>
        <v>45042</v>
      </c>
      <c r="HL4" s="7" vm="210">
        <f ca="1"/>
        <v>45043</v>
      </c>
      <c r="HM4" s="7" vm="211">
        <f ca="1"/>
        <v>45044</v>
      </c>
      <c r="HN4" s="7" vm="212">
        <f ca="1"/>
        <v>45048</v>
      </c>
      <c r="HO4" s="7" vm="213">
        <f ca="1"/>
        <v>45049</v>
      </c>
      <c r="HP4" s="7" vm="214">
        <f ca="1"/>
        <v>45050</v>
      </c>
      <c r="HQ4" s="7" vm="215">
        <f ca="1"/>
        <v>45051</v>
      </c>
      <c r="HR4" s="7" vm="216">
        <f ca="1"/>
        <v>45054</v>
      </c>
      <c r="HS4" s="7" vm="217">
        <f ca="1"/>
        <v>45055</v>
      </c>
      <c r="HT4" s="7" vm="218">
        <f ca="1"/>
        <v>45056</v>
      </c>
      <c r="HU4" s="7" vm="219">
        <f ca="1"/>
        <v>45057</v>
      </c>
      <c r="HV4" s="7" vm="220">
        <f ca="1"/>
        <v>45058</v>
      </c>
      <c r="HW4" s="7" vm="221">
        <f ca="1"/>
        <v>45061</v>
      </c>
      <c r="HX4" s="7" vm="222">
        <f ca="1"/>
        <v>45062</v>
      </c>
      <c r="HY4" s="7" vm="223">
        <f ca="1"/>
        <v>45063</v>
      </c>
      <c r="HZ4" s="7" vm="224">
        <f ca="1"/>
        <v>45064</v>
      </c>
      <c r="IA4" s="7" vm="225">
        <f ca="1"/>
        <v>45065</v>
      </c>
      <c r="IB4" s="7" vm="226">
        <f ca="1"/>
        <v>45068</v>
      </c>
      <c r="IC4" s="7" vm="227">
        <f ca="1"/>
        <v>45069</v>
      </c>
      <c r="ID4" s="7" vm="228">
        <f ca="1"/>
        <v>45070</v>
      </c>
      <c r="IE4" s="7" vm="229">
        <f ca="1"/>
        <v>45071</v>
      </c>
      <c r="IF4" s="7" vm="230">
        <f ca="1"/>
        <v>45072</v>
      </c>
      <c r="IG4" s="7" vm="231">
        <f ca="1"/>
        <v>45075</v>
      </c>
      <c r="IH4" s="7" vm="232">
        <f ca="1"/>
        <v>45076</v>
      </c>
      <c r="II4" s="7" vm="233">
        <f ca="1"/>
        <v>45077</v>
      </c>
      <c r="IJ4" s="7" vm="234">
        <f ca="1"/>
        <v>45078</v>
      </c>
      <c r="IK4" s="7" vm="235">
        <f ca="1"/>
        <v>45079</v>
      </c>
      <c r="IL4" s="7" vm="236">
        <f ca="1"/>
        <v>45082</v>
      </c>
      <c r="IM4" s="7" vm="237">
        <f ca="1"/>
        <v>45083</v>
      </c>
      <c r="IN4" s="7" vm="238">
        <f ca="1"/>
        <v>45084</v>
      </c>
      <c r="IO4" s="7" vm="239">
        <f ca="1"/>
        <v>45085</v>
      </c>
      <c r="IP4" s="7" vm="240">
        <f ca="1"/>
        <v>45086</v>
      </c>
      <c r="IQ4" s="7" vm="241">
        <f ca="1"/>
        <v>45089</v>
      </c>
      <c r="IR4" s="7" vm="242">
        <f ca="1"/>
        <v>45090</v>
      </c>
      <c r="IS4" s="7" vm="243">
        <f ca="1"/>
        <v>45091</v>
      </c>
      <c r="IT4" s="7" vm="244">
        <f ca="1"/>
        <v>45092</v>
      </c>
      <c r="IU4" s="7" vm="245">
        <f ca="1"/>
        <v>45093</v>
      </c>
      <c r="IV4" s="7" vm="246">
        <f ca="1"/>
        <v>45096</v>
      </c>
      <c r="IW4" s="7" vm="247">
        <f ca="1"/>
        <v>45097</v>
      </c>
      <c r="IX4" s="7" vm="248">
        <f ca="1"/>
        <v>45098</v>
      </c>
      <c r="IY4" s="7" vm="249">
        <f ca="1"/>
        <v>45099</v>
      </c>
    </row>
    <row r="5" spans="1:259" x14ac:dyDescent="0.3">
      <c r="A5" t="e" cm="1" vm="250">
        <f t="array" ref="A5:A11">_xlfn._xlws.SORT(_xlfn.UNIQUE(_xlfn._xlws.FILTER(Ledger[StockTicker],SUMIF(Ledger[StockTicker],Ledger[StockTicker],Ledger[Quantity])&lt;&gt;0)))</f>
        <v>#VALUE!</v>
      </c>
      <c r="B5" t="str" cm="1">
        <f t="array" ref="B5:B11">_FV(_xlfn.ANCHORARRAY(A5),"Industry")</f>
        <v>Machinery, Equipment &amp; Components</v>
      </c>
      <c r="C5" cm="1">
        <f t="array" ref="C5:C11">SUMIF(Ledger[StockTicker],_xlfn.ANCHORARRAY( A5), Ledger[Quantity])</f>
        <v>11</v>
      </c>
      <c r="D5" s="8" cm="1">
        <f t="array" ref="D5:D11">_FV(_xlfn.ANCHORARRAY(A5),"Price")</f>
        <v>4242.05</v>
      </c>
      <c r="E5" s="8" cm="1">
        <f t="array" ref="E5:E11">_xlfn.ANCHORARRAY(C5)*_xlfn.ANCHORARRAY(D5)</f>
        <v>46662.55</v>
      </c>
      <c r="F5" s="8" cm="1">
        <f t="array" ref="F5:F11">_FV(_xlfn.ANCHORARRAY(A5),"Previous close",TRUE)</f>
        <v>4270.5</v>
      </c>
      <c r="G5" s="15">
        <f>C5*F5</f>
        <v>46975.5</v>
      </c>
      <c r="H5" s="13">
        <f>G5-E5</f>
        <v>312.94999999999709</v>
      </c>
      <c r="I5" s="14" cm="1">
        <f t="array" ref="I5:I11">_xlfn.ANCHORARRAY(H5)/_xlfn.ANCHORARRAY(E5)</f>
        <v>6.7066630520620299E-3</v>
      </c>
      <c r="L5" vm="251">
        <f ca="1"/>
        <v>2290.75</v>
      </c>
      <c r="M5" vm="252">
        <f ca="1"/>
        <v>2290.35</v>
      </c>
      <c r="N5" vm="253">
        <f ca="1"/>
        <v>2292.5500000000002</v>
      </c>
      <c r="O5" vm="254">
        <f ca="1"/>
        <v>2284.8000000000002</v>
      </c>
      <c r="P5" vm="255">
        <f ca="1"/>
        <v>2310.1999999999998</v>
      </c>
      <c r="Q5" vm="256">
        <f ca="1"/>
        <v>2300.9</v>
      </c>
      <c r="R5" vm="257">
        <f ca="1"/>
        <v>2275.4499999999998</v>
      </c>
      <c r="S5" vm="258">
        <f ca="1"/>
        <v>2361.5</v>
      </c>
      <c r="T5" vm="259">
        <f ca="1"/>
        <v>2364.75</v>
      </c>
      <c r="U5" vm="260">
        <f ca="1"/>
        <v>2517</v>
      </c>
      <c r="V5" vm="261">
        <f ca="1"/>
        <v>2562.4499999999998</v>
      </c>
      <c r="W5" vm="262">
        <f ca="1"/>
        <v>2589.1</v>
      </c>
      <c r="X5" vm="263">
        <f ca="1"/>
        <v>2610.85</v>
      </c>
      <c r="Y5" vm="264">
        <f ca="1"/>
        <v>2540.8000000000002</v>
      </c>
      <c r="Z5" vm="265">
        <f ca="1"/>
        <v>2544.6999999999998</v>
      </c>
      <c r="AA5" vm="266">
        <f ca="1"/>
        <v>2548.35</v>
      </c>
      <c r="AB5" vm="267">
        <f ca="1"/>
        <v>2559.4499999999998</v>
      </c>
      <c r="AC5" vm="268">
        <f ca="1"/>
        <v>2586.5500000000002</v>
      </c>
      <c r="AD5" vm="269">
        <f ca="1"/>
        <v>2590.9</v>
      </c>
      <c r="AE5" vm="270">
        <f ca="1"/>
        <v>2598.5500000000002</v>
      </c>
      <c r="AF5" vm="271">
        <f ca="1"/>
        <v>2772.75</v>
      </c>
      <c r="AG5" vm="272">
        <f ca="1"/>
        <v>2696.4</v>
      </c>
      <c r="AH5" vm="273">
        <f ca="1"/>
        <v>2662.9</v>
      </c>
      <c r="AI5" vm="274">
        <f ca="1"/>
        <v>2713.4</v>
      </c>
      <c r="AJ5" vm="275">
        <f ca="1"/>
        <v>2728.15</v>
      </c>
      <c r="AK5" vm="276">
        <f ca="1"/>
        <v>2722.25</v>
      </c>
      <c r="AL5" vm="277">
        <f ca="1"/>
        <v>2736.15</v>
      </c>
      <c r="AM5" vm="278">
        <f ca="1"/>
        <v>2745.65</v>
      </c>
      <c r="AN5" vm="279">
        <f ca="1"/>
        <v>2759.55</v>
      </c>
      <c r="AO5" vm="280">
        <f ca="1"/>
        <v>2671.6</v>
      </c>
      <c r="AP5" vm="281">
        <f ca="1"/>
        <v>2668.35</v>
      </c>
      <c r="AQ5" vm="282">
        <f ca="1"/>
        <v>2688.2</v>
      </c>
      <c r="AR5" vm="283">
        <f ca="1"/>
        <v>2721.1</v>
      </c>
      <c r="AS5" vm="284">
        <f ca="1"/>
        <v>2770.4</v>
      </c>
      <c r="AT5" vm="285">
        <f ca="1"/>
        <v>2798.3</v>
      </c>
      <c r="AU5" vm="286">
        <f ca="1"/>
        <v>2797.25</v>
      </c>
      <c r="AV5" vm="287">
        <f ca="1"/>
        <v>2898</v>
      </c>
      <c r="AW5" vm="288">
        <f ca="1"/>
        <v>2891.75</v>
      </c>
      <c r="AX5" vm="289">
        <f ca="1"/>
        <v>2890.5</v>
      </c>
      <c r="AY5" vm="290">
        <f ca="1"/>
        <v>2888.35</v>
      </c>
      <c r="AZ5" vm="291">
        <f ca="1"/>
        <v>2869.55</v>
      </c>
      <c r="BA5" vm="292">
        <f ca="1"/>
        <v>2868.1</v>
      </c>
      <c r="BB5" vm="293">
        <f ca="1"/>
        <v>3060.45</v>
      </c>
      <c r="BC5" vm="294">
        <f ca="1"/>
        <v>3144.4</v>
      </c>
      <c r="BD5" vm="295">
        <f ca="1"/>
        <v>3170.65</v>
      </c>
      <c r="BE5" vm="296">
        <f ca="1"/>
        <v>3196.45</v>
      </c>
      <c r="BF5" vm="297">
        <f ca="1"/>
        <v>3262.75</v>
      </c>
      <c r="BG5" vm="298">
        <f ca="1"/>
        <v>3403.7</v>
      </c>
      <c r="BH5" vm="299">
        <f ca="1"/>
        <v>3368.9</v>
      </c>
      <c r="BI5" vm="300">
        <f ca="1"/>
        <v>3289.2</v>
      </c>
      <c r="BJ5" vm="301">
        <f ca="1"/>
        <v>3362.05</v>
      </c>
      <c r="BK5" vm="302">
        <f ca="1"/>
        <v>3310.3</v>
      </c>
      <c r="BL5" vm="303">
        <f ca="1"/>
        <v>3318.25</v>
      </c>
      <c r="BM5" vm="304">
        <f ca="1"/>
        <v>3314.65</v>
      </c>
      <c r="BN5" vm="305">
        <f ca="1"/>
        <v>3329.6</v>
      </c>
      <c r="BO5" vm="306">
        <f ca="1"/>
        <v>3358.85</v>
      </c>
      <c r="BP5" vm="307">
        <f ca="1"/>
        <v>3288.65</v>
      </c>
      <c r="BQ5" vm="308">
        <f ca="1"/>
        <v>3296.95</v>
      </c>
      <c r="BR5" vm="309">
        <f ca="1"/>
        <v>3180.15</v>
      </c>
      <c r="BS5" vm="310">
        <f ca="1"/>
        <v>3157.8</v>
      </c>
      <c r="BT5" vm="311">
        <f ca="1"/>
        <v>3150.55</v>
      </c>
      <c r="BU5" vm="312">
        <f ca="1"/>
        <v>3129.65</v>
      </c>
      <c r="BV5" vm="313">
        <f ca="1"/>
        <v>3144.1</v>
      </c>
      <c r="BW5" vm="314">
        <f ca="1"/>
        <v>3124.65</v>
      </c>
      <c r="BX5" vm="315">
        <f ca="1"/>
        <v>3002.2</v>
      </c>
      <c r="BY5" vm="316">
        <f ca="1"/>
        <v>3032.75</v>
      </c>
      <c r="BZ5" vm="317">
        <f ca="1"/>
        <v>3009.7</v>
      </c>
      <c r="CA5" vm="318">
        <f ca="1"/>
        <v>2996.2</v>
      </c>
      <c r="CB5" vm="319">
        <f ca="1"/>
        <v>3088.4</v>
      </c>
      <c r="CC5" vm="320">
        <f ca="1"/>
        <v>2994.8</v>
      </c>
      <c r="CD5" vm="321">
        <f ca="1"/>
        <v>3080.8</v>
      </c>
      <c r="CE5" vm="322">
        <f ca="1"/>
        <v>3188.85</v>
      </c>
      <c r="CF5" vm="323">
        <f ca="1"/>
        <v>3296.1</v>
      </c>
      <c r="CG5" vm="324">
        <f ca="1"/>
        <v>3230.55</v>
      </c>
      <c r="CH5" vm="325">
        <f ca="1"/>
        <v>3197.05</v>
      </c>
      <c r="CI5" vm="326">
        <f ca="1"/>
        <v>3247.5</v>
      </c>
      <c r="CJ5" vm="327">
        <f ca="1"/>
        <v>3265.85</v>
      </c>
      <c r="CK5" vm="328">
        <f ca="1"/>
        <v>3194.3</v>
      </c>
      <c r="CL5" vm="329">
        <f ca="1"/>
        <v>3196.55</v>
      </c>
      <c r="CM5" vm="330">
        <f ca="1"/>
        <v>3211.6</v>
      </c>
      <c r="CN5" vm="331">
        <f ca="1"/>
        <v>3238.3</v>
      </c>
      <c r="CO5" vm="332">
        <f ca="1"/>
        <v>3132.8</v>
      </c>
      <c r="CP5" vm="333">
        <f ca="1"/>
        <v>3041.25</v>
      </c>
      <c r="CQ5" vm="334">
        <f ca="1"/>
        <v>3052.8</v>
      </c>
      <c r="CR5" vm="335">
        <f ca="1"/>
        <v>3055.25</v>
      </c>
      <c r="CS5" vm="336">
        <f ca="1"/>
        <v>3039.4</v>
      </c>
      <c r="CT5" vm="337">
        <f ca="1"/>
        <v>2962.1</v>
      </c>
      <c r="CU5" vm="338">
        <f ca="1"/>
        <v>3049.75</v>
      </c>
      <c r="CV5" vm="339">
        <f ca="1"/>
        <v>3152.15</v>
      </c>
      <c r="CW5" vm="340">
        <f ca="1"/>
        <v>3170.85</v>
      </c>
      <c r="CX5" vm="341">
        <f ca="1"/>
        <v>3225.25</v>
      </c>
      <c r="CY5" vm="342">
        <f ca="1"/>
        <v>3219.9</v>
      </c>
      <c r="CZ5" vm="343">
        <f ca="1"/>
        <v>3262.35</v>
      </c>
      <c r="DA5" vm="344">
        <f ca="1"/>
        <v>3103.9</v>
      </c>
      <c r="DB5" vm="345">
        <f ca="1"/>
        <v>3166.9</v>
      </c>
      <c r="DC5" vm="346">
        <f ca="1"/>
        <v>3155.85</v>
      </c>
      <c r="DD5" vm="347">
        <f ca="1"/>
        <v>3025.2</v>
      </c>
      <c r="DE5" vm="348">
        <f ca="1"/>
        <v>3027.85</v>
      </c>
      <c r="DF5" vm="349">
        <f ca="1"/>
        <v>3035.65</v>
      </c>
      <c r="DG5" vm="350">
        <f ca="1"/>
        <v>3122.2</v>
      </c>
      <c r="DH5" vm="351">
        <f ca="1"/>
        <v>3092.65</v>
      </c>
      <c r="DI5" vm="352">
        <f ca="1"/>
        <v>3082.95</v>
      </c>
      <c r="DJ5" vm="353">
        <f ca="1"/>
        <v>3059.45</v>
      </c>
      <c r="DK5" vm="354">
        <f ca="1"/>
        <v>3099.3</v>
      </c>
      <c r="DL5" vm="355">
        <f ca="1"/>
        <v>3124.95</v>
      </c>
      <c r="DM5" vm="356">
        <f ca="1"/>
        <v>3090.85</v>
      </c>
      <c r="DN5" vm="357">
        <f ca="1"/>
        <v>3103.35</v>
      </c>
      <c r="DO5" vm="358">
        <f ca="1"/>
        <v>3015.2</v>
      </c>
      <c r="DP5" vm="359">
        <f ca="1"/>
        <v>3000.7</v>
      </c>
      <c r="DQ5" vm="360">
        <f ca="1"/>
        <v>2993.85</v>
      </c>
      <c r="DR5" vm="361">
        <f ca="1"/>
        <v>2978.1</v>
      </c>
      <c r="DS5" vm="362">
        <f ca="1"/>
        <v>2975.6</v>
      </c>
      <c r="DT5" vm="363">
        <f ca="1"/>
        <v>2944.1</v>
      </c>
      <c r="DU5" vm="364">
        <f ca="1"/>
        <v>2969.05</v>
      </c>
      <c r="DV5" vm="365">
        <f ca="1"/>
        <v>2988.35</v>
      </c>
      <c r="DW5" vm="366">
        <f ca="1"/>
        <v>2976.65</v>
      </c>
      <c r="DX5" vm="367">
        <f ca="1"/>
        <v>2991.4</v>
      </c>
      <c r="DY5" vm="368">
        <f ca="1"/>
        <v>2993.15</v>
      </c>
      <c r="DZ5" vm="369">
        <f ca="1"/>
        <v>3006.7</v>
      </c>
      <c r="EA5" vm="370">
        <f ca="1"/>
        <v>2930.2</v>
      </c>
      <c r="EB5" vm="371">
        <f ca="1"/>
        <v>2838.5</v>
      </c>
      <c r="EC5" vm="372">
        <f ca="1"/>
        <v>2897.25</v>
      </c>
      <c r="ED5" vm="373">
        <f ca="1"/>
        <v>2924.85</v>
      </c>
      <c r="EE5" vm="374">
        <f ca="1"/>
        <v>2841</v>
      </c>
      <c r="EF5" vm="375">
        <f ca="1"/>
        <v>2802.8</v>
      </c>
      <c r="EG5" vm="376">
        <f ca="1"/>
        <v>2680.75</v>
      </c>
      <c r="EH5" vm="377">
        <f ca="1"/>
        <v>2724.65</v>
      </c>
      <c r="EI5" vm="378">
        <f ca="1"/>
        <v>2742.65</v>
      </c>
      <c r="EJ5" vm="379">
        <f ca="1"/>
        <v>2724.35</v>
      </c>
      <c r="EK5" vm="380">
        <f ca="1"/>
        <v>2684.2</v>
      </c>
      <c r="EL5" vm="381">
        <f ca="1"/>
        <v>2683</v>
      </c>
      <c r="EM5" vm="382">
        <f ca="1"/>
        <v>2679.95</v>
      </c>
      <c r="EN5" vm="383">
        <f ca="1"/>
        <v>2689.4</v>
      </c>
      <c r="EO5" vm="384">
        <f ca="1"/>
        <v>2705.2</v>
      </c>
      <c r="EP5" vm="385">
        <f ca="1"/>
        <v>2806</v>
      </c>
      <c r="EQ5" vm="386">
        <f ca="1"/>
        <v>2843.6</v>
      </c>
      <c r="ER5" vm="387">
        <f ca="1"/>
        <v>2862.1</v>
      </c>
      <c r="ES5" vm="388">
        <f ca="1"/>
        <v>2841.65</v>
      </c>
      <c r="ET5" vm="389">
        <f ca="1"/>
        <v>2900.2</v>
      </c>
      <c r="EU5" vm="390">
        <f ca="1"/>
        <v>2914.15</v>
      </c>
      <c r="EV5" vm="391">
        <f ca="1"/>
        <v>2899.95</v>
      </c>
      <c r="EW5" vm="392">
        <f ca="1"/>
        <v>2872.4</v>
      </c>
      <c r="EX5" vm="393">
        <f ca="1"/>
        <v>2874.95</v>
      </c>
      <c r="EY5" vm="394">
        <f ca="1"/>
        <v>2920.35</v>
      </c>
      <c r="EZ5" vm="395">
        <f ca="1"/>
        <v>2918.65</v>
      </c>
      <c r="FA5" vm="396">
        <f ca="1"/>
        <v>2933.75</v>
      </c>
      <c r="FB5" vm="397">
        <f ca="1"/>
        <v>2947.7</v>
      </c>
      <c r="FC5" vm="398">
        <f ca="1"/>
        <v>2945.05</v>
      </c>
      <c r="FD5" vm="399">
        <f ca="1"/>
        <v>2873.35</v>
      </c>
      <c r="FE5" vm="400">
        <f ca="1"/>
        <v>2803.2</v>
      </c>
      <c r="FF5" vm="401">
        <f ca="1"/>
        <v>2814.85</v>
      </c>
      <c r="FG5" vm="402">
        <f ca="1"/>
        <v>2839.5</v>
      </c>
      <c r="FH5" vm="403">
        <f ca="1"/>
        <v>2789.1</v>
      </c>
      <c r="FI5" vm="404">
        <f ca="1"/>
        <v>2831.6</v>
      </c>
      <c r="FJ5" vm="405">
        <f ca="1"/>
        <v>2805.85</v>
      </c>
      <c r="FK5" vm="406">
        <f ca="1"/>
        <v>2932</v>
      </c>
      <c r="FL5" vm="407">
        <f ca="1"/>
        <v>3023.5</v>
      </c>
      <c r="FM5" vm="408">
        <f ca="1"/>
        <v>3079.45</v>
      </c>
      <c r="FN5" vm="409">
        <f ca="1"/>
        <v>3128.05</v>
      </c>
      <c r="FO5" vm="410">
        <f ca="1"/>
        <v>3166.3</v>
      </c>
      <c r="FP5" vm="411">
        <f ca="1"/>
        <v>3079.65</v>
      </c>
      <c r="FQ5" vm="412">
        <f ca="1"/>
        <v>3077.3</v>
      </c>
      <c r="FR5" vm="413">
        <f ca="1"/>
        <v>3149.6</v>
      </c>
      <c r="FS5" vm="414">
        <f ca="1"/>
        <v>3188.4</v>
      </c>
      <c r="FT5" vm="415">
        <f ca="1"/>
        <v>3136.15</v>
      </c>
      <c r="FU5" vm="416">
        <f ca="1"/>
        <v>3174.15</v>
      </c>
      <c r="FV5" vm="417">
        <f ca="1"/>
        <v>3169.4</v>
      </c>
      <c r="FW5" vm="418">
        <f ca="1"/>
        <v>3172.8</v>
      </c>
      <c r="FX5" vm="419">
        <f ca="1"/>
        <v>3138.35</v>
      </c>
      <c r="FY5" vm="420">
        <f ca="1"/>
        <v>3142</v>
      </c>
      <c r="FZ5" vm="421">
        <f ca="1"/>
        <v>3108.05</v>
      </c>
      <c r="GA5" vm="422">
        <f ca="1"/>
        <v>3217.35</v>
      </c>
      <c r="GB5" vm="423">
        <f ca="1"/>
        <v>3311.45</v>
      </c>
      <c r="GC5" vm="424">
        <f ca="1"/>
        <v>3323.4</v>
      </c>
      <c r="GD5" vm="425">
        <f ca="1"/>
        <v>3328.75</v>
      </c>
      <c r="GE5" vm="426">
        <f ca="1"/>
        <v>3318.45</v>
      </c>
      <c r="GF5" vm="427">
        <f ca="1"/>
        <v>3379.85</v>
      </c>
      <c r="GG5" vm="428">
        <f ca="1"/>
        <v>3388</v>
      </c>
      <c r="GH5" vm="429">
        <f ca="1"/>
        <v>3377.4</v>
      </c>
      <c r="GI5" vm="430">
        <f ca="1"/>
        <v>3274.45</v>
      </c>
      <c r="GJ5" vm="431">
        <f ca="1"/>
        <v>3311.15</v>
      </c>
      <c r="GK5" vm="432">
        <f ca="1"/>
        <v>3302.25</v>
      </c>
      <c r="GL5" vm="433">
        <f ca="1"/>
        <v>3327.95</v>
      </c>
      <c r="GM5" vm="434">
        <f ca="1"/>
        <v>3312.55</v>
      </c>
      <c r="GN5" vm="435">
        <f ca="1"/>
        <v>3298.85</v>
      </c>
      <c r="GO5" vm="436">
        <f ca="1"/>
        <v>3412.35</v>
      </c>
      <c r="GP5" vm="437">
        <f ca="1"/>
        <v>3309.9</v>
      </c>
      <c r="GQ5" vm="438">
        <f ca="1"/>
        <v>3360.45</v>
      </c>
      <c r="GR5" vm="439">
        <f ca="1"/>
        <v>3346.7</v>
      </c>
      <c r="GS5" vm="440">
        <f ca="1"/>
        <v>3324.6</v>
      </c>
      <c r="GT5" vm="441">
        <f ca="1"/>
        <v>3338.65</v>
      </c>
      <c r="GU5" vm="442">
        <f ca="1"/>
        <v>3391.45</v>
      </c>
      <c r="GV5" vm="443">
        <f ca="1"/>
        <v>3365.15</v>
      </c>
      <c r="GW5" vm="444">
        <f ca="1"/>
        <v>3373.75</v>
      </c>
      <c r="GX5" vm="445">
        <f ca="1"/>
        <v>3374.15</v>
      </c>
      <c r="GY5" vm="446">
        <f ca="1"/>
        <v>3397.1</v>
      </c>
      <c r="GZ5" vm="447">
        <f ca="1"/>
        <v>3397.65</v>
      </c>
      <c r="HA5" vm="448">
        <f ca="1"/>
        <v>3277.45</v>
      </c>
      <c r="HB5" vm="449">
        <f ca="1"/>
        <v>3203.55</v>
      </c>
      <c r="HC5" vm="450">
        <f ca="1"/>
        <v>3230</v>
      </c>
      <c r="HD5" vm="451">
        <f ca="1"/>
        <v>3229</v>
      </c>
      <c r="HE5" vm="452">
        <f ca="1"/>
        <v>3207.7</v>
      </c>
      <c r="HF5" vm="453">
        <f ca="1"/>
        <v>3201.05</v>
      </c>
      <c r="HG5" vm="454">
        <f ca="1"/>
        <v>3184.3</v>
      </c>
      <c r="HH5" vm="455">
        <f ca="1"/>
        <v>3153.3</v>
      </c>
      <c r="HI5" vm="456">
        <f ca="1"/>
        <v>3217.4</v>
      </c>
      <c r="HJ5" vm="457">
        <f ca="1"/>
        <v>3336.1</v>
      </c>
      <c r="HK5" vm="458">
        <f ca="1"/>
        <v>3400.15</v>
      </c>
      <c r="HL5" vm="459">
        <f ca="1"/>
        <v>3411.6</v>
      </c>
      <c r="HM5" vm="460">
        <f ca="1"/>
        <v>3417.95</v>
      </c>
      <c r="HN5" vm="461">
        <f ca="1"/>
        <v>3442.15</v>
      </c>
      <c r="HO5" vm="462">
        <f ca="1"/>
        <v>3453.6</v>
      </c>
      <c r="HP5" vm="463">
        <f ca="1"/>
        <v>3645.35</v>
      </c>
      <c r="HQ5" vm="464">
        <f ca="1"/>
        <v>3718.85</v>
      </c>
      <c r="HR5" vm="465">
        <f ca="1"/>
        <v>3802.6</v>
      </c>
      <c r="HS5" vm="466">
        <f ca="1"/>
        <v>3807.05</v>
      </c>
      <c r="HT5" vm="467">
        <f ca="1"/>
        <v>3815.45</v>
      </c>
      <c r="HU5" vm="468">
        <f ca="1"/>
        <v>3860.45</v>
      </c>
      <c r="HV5" vm="469">
        <f ca="1"/>
        <v>3942.55</v>
      </c>
      <c r="HW5" vm="470">
        <f ca="1"/>
        <v>3855.45</v>
      </c>
      <c r="HX5" vm="471">
        <f ca="1"/>
        <v>3910.5</v>
      </c>
      <c r="HY5" vm="472">
        <f ca="1"/>
        <v>3918.9</v>
      </c>
      <c r="HZ5" vm="473">
        <f ca="1"/>
        <v>3897.5</v>
      </c>
      <c r="IA5" vm="474">
        <f ca="1"/>
        <v>3894.75</v>
      </c>
      <c r="IB5" vm="475">
        <f ca="1"/>
        <v>3893.2</v>
      </c>
      <c r="IC5" vm="476">
        <f ca="1"/>
        <v>3912.75</v>
      </c>
      <c r="ID5" vm="477">
        <f ca="1"/>
        <v>3891.65</v>
      </c>
      <c r="IE5" vm="478">
        <f ca="1"/>
        <v>3941.95</v>
      </c>
      <c r="IF5" vm="479">
        <f ca="1"/>
        <v>4004.75</v>
      </c>
      <c r="IG5" vm="480">
        <f ca="1"/>
        <v>4031.15</v>
      </c>
      <c r="IH5" vm="481">
        <f ca="1"/>
        <v>4029.6</v>
      </c>
      <c r="II5" vm="482">
        <f ca="1"/>
        <v>4125.8999999999996</v>
      </c>
      <c r="IJ5" vm="483">
        <f ca="1"/>
        <v>3944.65</v>
      </c>
      <c r="IK5" vm="484">
        <f ca="1"/>
        <v>4021.55</v>
      </c>
      <c r="IL5" vm="485">
        <f ca="1"/>
        <v>4033</v>
      </c>
      <c r="IM5" vm="486">
        <f ca="1"/>
        <v>4057.65</v>
      </c>
      <c r="IN5" vm="487">
        <f ca="1"/>
        <v>4151.1000000000004</v>
      </c>
      <c r="IO5" vm="488">
        <f ca="1"/>
        <v>4112.3</v>
      </c>
      <c r="IP5" vm="489">
        <f ca="1"/>
        <v>4151.2</v>
      </c>
      <c r="IQ5" vm="490">
        <f ca="1"/>
        <v>4151.45</v>
      </c>
      <c r="IR5" vm="491">
        <f ca="1"/>
        <v>4319.8</v>
      </c>
      <c r="IS5" vm="492">
        <f ca="1"/>
        <v>4349.8500000000004</v>
      </c>
      <c r="IT5" vm="493">
        <f ca="1"/>
        <v>4313.6499999999996</v>
      </c>
      <c r="IU5" vm="494">
        <f ca="1"/>
        <v>4336.8999999999996</v>
      </c>
      <c r="IV5" vm="495">
        <f ca="1"/>
        <v>4327.6499999999996</v>
      </c>
      <c r="IW5" vm="496">
        <f ca="1"/>
        <v>4376</v>
      </c>
      <c r="IX5" vm="497">
        <f ca="1"/>
        <v>4366.45</v>
      </c>
      <c r="IY5" vm="498">
        <f ca="1"/>
        <v>4270.5</v>
      </c>
    </row>
    <row r="6" spans="1:259" x14ac:dyDescent="0.3">
      <c r="A6" t="e" vm="499">
        <v>#VALUE!</v>
      </c>
      <c r="B6" t="str">
        <v>Freight &amp; Logistics Services</v>
      </c>
      <c r="C6">
        <v>35</v>
      </c>
      <c r="D6" s="8">
        <v>641</v>
      </c>
      <c r="E6" s="8">
        <v>22435</v>
      </c>
      <c r="F6" s="8">
        <v>642.45000000000005</v>
      </c>
      <c r="G6" s="15">
        <f t="shared" ref="G6:G11" si="0">C6*F6</f>
        <v>22485.75</v>
      </c>
      <c r="H6" s="13">
        <f t="shared" ref="H6:H11" si="1">G6-E6</f>
        <v>50.75</v>
      </c>
      <c r="I6" s="14">
        <v>1.3949186538889997E-2</v>
      </c>
      <c r="L6" cm="1" vm="500">
        <f t="array" aca="1" ref="L6:IY6" ca="1">TRANSPOSE(_xlfn.STOCKHISTORY(A6, TODAY()-365, TODAY(), 0, 0,1))</f>
        <v>620.35</v>
      </c>
      <c r="M6" vm="501">
        <f ca="1"/>
        <v>622.1</v>
      </c>
      <c r="N6" vm="502">
        <f ca="1"/>
        <v>624.6</v>
      </c>
      <c r="O6" vm="503">
        <f ca="1"/>
        <v>620.25</v>
      </c>
      <c r="P6" vm="504">
        <f ca="1"/>
        <v>617.95000000000005</v>
      </c>
      <c r="Q6" vm="505">
        <f ca="1"/>
        <v>594.29999999999995</v>
      </c>
      <c r="R6" vm="506">
        <f ca="1"/>
        <v>603.29999999999995</v>
      </c>
      <c r="S6" vm="507">
        <f ca="1"/>
        <v>617.45000000000005</v>
      </c>
      <c r="T6" vm="508">
        <f ca="1"/>
        <v>624.29999999999995</v>
      </c>
      <c r="U6" vm="509">
        <f ca="1"/>
        <v>650.45000000000005</v>
      </c>
      <c r="V6" vm="510">
        <f ca="1"/>
        <v>653.04999999999995</v>
      </c>
      <c r="W6" vm="511">
        <f ca="1"/>
        <v>656.6</v>
      </c>
      <c r="X6" vm="512">
        <f ca="1"/>
        <v>660.45</v>
      </c>
      <c r="Y6" vm="513">
        <f ca="1"/>
        <v>673.8</v>
      </c>
      <c r="Z6" vm="514">
        <f ca="1"/>
        <v>673.35</v>
      </c>
      <c r="AA6" vm="515">
        <f ca="1"/>
        <v>674.25</v>
      </c>
      <c r="AB6" vm="516">
        <f ca="1"/>
        <v>684.1</v>
      </c>
      <c r="AC6" vm="517">
        <f ca="1"/>
        <v>671</v>
      </c>
      <c r="AD6" vm="518">
        <f ca="1"/>
        <v>673.65</v>
      </c>
      <c r="AE6" vm="519">
        <f ca="1"/>
        <v>673.55</v>
      </c>
      <c r="AF6" vm="520">
        <f ca="1"/>
        <v>681.25</v>
      </c>
      <c r="AG6" vm="521">
        <f ca="1"/>
        <v>675.2</v>
      </c>
      <c r="AH6" vm="522">
        <f ca="1"/>
        <v>671.5</v>
      </c>
      <c r="AI6" vm="523">
        <f ca="1"/>
        <v>666.4</v>
      </c>
      <c r="AJ6" vm="524">
        <f ca="1"/>
        <v>681.15</v>
      </c>
      <c r="AK6" vm="525">
        <f ca="1"/>
        <v>686.05</v>
      </c>
      <c r="AL6" vm="526">
        <f ca="1"/>
        <v>712.75</v>
      </c>
      <c r="AM6" vm="527">
        <f ca="1"/>
        <v>710.15</v>
      </c>
      <c r="AN6" vm="528">
        <f ca="1"/>
        <v>726.3</v>
      </c>
      <c r="AO6" vm="529">
        <f ca="1"/>
        <v>699.4</v>
      </c>
      <c r="AP6" vm="530">
        <f ca="1"/>
        <v>679.45</v>
      </c>
      <c r="AQ6" vm="531">
        <f ca="1"/>
        <v>685.9</v>
      </c>
      <c r="AR6" vm="532">
        <f ca="1"/>
        <v>696.4</v>
      </c>
      <c r="AS6" vm="533">
        <f ca="1"/>
        <v>690.45</v>
      </c>
      <c r="AT6" vm="534">
        <f ca="1"/>
        <v>699.65</v>
      </c>
      <c r="AU6" vm="535">
        <f ca="1"/>
        <v>700.15</v>
      </c>
      <c r="AV6" vm="536">
        <f ca="1"/>
        <v>718.9</v>
      </c>
      <c r="AW6" vm="537">
        <f ca="1"/>
        <v>705.9</v>
      </c>
      <c r="AX6" vm="538">
        <f ca="1"/>
        <v>703.9</v>
      </c>
      <c r="AY6" vm="539">
        <f ca="1"/>
        <v>683.45</v>
      </c>
      <c r="AZ6" vm="540">
        <f ca="1"/>
        <v>670.15</v>
      </c>
      <c r="BA6" vm="541">
        <f ca="1"/>
        <v>676.5</v>
      </c>
      <c r="BB6" vm="542">
        <f ca="1"/>
        <v>688.75</v>
      </c>
      <c r="BC6" vm="543">
        <f ca="1"/>
        <v>700.8</v>
      </c>
      <c r="BD6" vm="544">
        <f ca="1"/>
        <v>712.65</v>
      </c>
      <c r="BE6" vm="545">
        <f ca="1"/>
        <v>688.4</v>
      </c>
      <c r="BF6" vm="546">
        <f ca="1"/>
        <v>696.55</v>
      </c>
      <c r="BG6" vm="547">
        <f ca="1"/>
        <v>692.75</v>
      </c>
      <c r="BH6" vm="548">
        <f ca="1"/>
        <v>674.35</v>
      </c>
      <c r="BI6" vm="549">
        <f ca="1"/>
        <v>669.15</v>
      </c>
      <c r="BJ6" vm="550">
        <f ca="1"/>
        <v>669.35</v>
      </c>
      <c r="BK6" vm="551">
        <f ca="1"/>
        <v>726.55</v>
      </c>
      <c r="BL6" vm="552">
        <f ca="1"/>
        <v>732.25</v>
      </c>
      <c r="BM6" vm="553">
        <f ca="1"/>
        <v>752.7</v>
      </c>
      <c r="BN6" vm="554">
        <f ca="1"/>
        <v>764.85</v>
      </c>
      <c r="BO6" vm="555">
        <f ca="1"/>
        <v>770.4</v>
      </c>
      <c r="BP6" vm="556">
        <f ca="1"/>
        <v>768.25</v>
      </c>
      <c r="BQ6" vm="557">
        <f ca="1"/>
        <v>763.55</v>
      </c>
      <c r="BR6" vm="558">
        <f ca="1"/>
        <v>738.7</v>
      </c>
      <c r="BS6" vm="559">
        <f ca="1"/>
        <v>747.65</v>
      </c>
      <c r="BT6" vm="560">
        <f ca="1"/>
        <v>744.75</v>
      </c>
      <c r="BU6" vm="561">
        <f ca="1"/>
        <v>742.1</v>
      </c>
      <c r="BV6" vm="562">
        <f ca="1"/>
        <v>751.9</v>
      </c>
      <c r="BW6" vm="551">
        <f ca="1"/>
        <v>726.55</v>
      </c>
      <c r="BX6" vm="563">
        <f ca="1"/>
        <v>698.4</v>
      </c>
      <c r="BY6" vm="564">
        <f ca="1"/>
        <v>685.6</v>
      </c>
      <c r="BZ6" vm="565">
        <f ca="1"/>
        <v>686.6</v>
      </c>
      <c r="CA6" vm="566">
        <f ca="1"/>
        <v>695.8</v>
      </c>
      <c r="CB6" vm="567">
        <f ca="1"/>
        <v>711.65</v>
      </c>
      <c r="CC6" vm="568">
        <f ca="1"/>
        <v>693.05</v>
      </c>
      <c r="CD6" vm="527">
        <f ca="1"/>
        <v>710.15</v>
      </c>
      <c r="CE6" vm="569">
        <f ca="1"/>
        <v>710</v>
      </c>
      <c r="CF6" vm="570">
        <f ca="1"/>
        <v>698.7</v>
      </c>
      <c r="CG6" vm="571">
        <f ca="1"/>
        <v>689.95</v>
      </c>
      <c r="CH6" vm="572">
        <f ca="1"/>
        <v>691.05</v>
      </c>
      <c r="CI6" vm="573">
        <f ca="1"/>
        <v>707.7</v>
      </c>
      <c r="CJ6" vm="574">
        <f ca="1"/>
        <v>695.1</v>
      </c>
      <c r="CK6" vm="575">
        <f ca="1"/>
        <v>696</v>
      </c>
      <c r="CL6" vm="526">
        <f ca="1"/>
        <v>712.75</v>
      </c>
      <c r="CM6" vm="576">
        <f ca="1"/>
        <v>721.4</v>
      </c>
      <c r="CN6" vm="577">
        <f ca="1"/>
        <v>771.25</v>
      </c>
      <c r="CO6" vm="578">
        <f ca="1"/>
        <v>744.1</v>
      </c>
      <c r="CP6" vm="579">
        <f ca="1"/>
        <v>748.2</v>
      </c>
      <c r="CQ6" vm="580">
        <f ca="1"/>
        <v>746.9</v>
      </c>
      <c r="CR6" vm="581">
        <f ca="1"/>
        <v>759.35</v>
      </c>
      <c r="CS6" vm="582">
        <f ca="1"/>
        <v>790.05</v>
      </c>
      <c r="CT6" vm="583">
        <f ca="1"/>
        <v>785.6</v>
      </c>
      <c r="CU6" vm="584">
        <f ca="1"/>
        <v>798</v>
      </c>
      <c r="CV6" vm="585">
        <f ca="1"/>
        <v>795.35</v>
      </c>
      <c r="CW6" vm="586">
        <f ca="1"/>
        <v>794.65</v>
      </c>
      <c r="CX6" vm="587">
        <f ca="1"/>
        <v>796.05</v>
      </c>
      <c r="CY6" vm="587">
        <f ca="1"/>
        <v>796.05</v>
      </c>
      <c r="CZ6" vm="588">
        <f ca="1"/>
        <v>784.2</v>
      </c>
      <c r="DA6" vm="589">
        <f ca="1"/>
        <v>809.65</v>
      </c>
      <c r="DB6" vm="590">
        <f ca="1"/>
        <v>803.3</v>
      </c>
      <c r="DC6" vm="591">
        <f ca="1"/>
        <v>767.8</v>
      </c>
      <c r="DD6" vm="592">
        <f ca="1"/>
        <v>762.95</v>
      </c>
      <c r="DE6" vm="593">
        <f ca="1"/>
        <v>763.6</v>
      </c>
      <c r="DF6" vm="594">
        <f ca="1"/>
        <v>761.8</v>
      </c>
      <c r="DG6" vm="595">
        <f ca="1"/>
        <v>751.75</v>
      </c>
      <c r="DH6" vm="596">
        <f ca="1"/>
        <v>739.1</v>
      </c>
      <c r="DI6" vm="597">
        <f ca="1"/>
        <v>733.3</v>
      </c>
      <c r="DJ6" vm="598">
        <f ca="1"/>
        <v>735</v>
      </c>
      <c r="DK6" vm="599">
        <f ca="1"/>
        <v>747.55</v>
      </c>
      <c r="DL6" vm="600">
        <f ca="1"/>
        <v>751.4</v>
      </c>
      <c r="DM6" vm="592">
        <f ca="1"/>
        <v>762.95</v>
      </c>
      <c r="DN6" vm="601">
        <f ca="1"/>
        <v>765</v>
      </c>
      <c r="DO6" vm="602">
        <f ca="1"/>
        <v>759.65</v>
      </c>
      <c r="DP6" vm="603">
        <f ca="1"/>
        <v>771.95</v>
      </c>
      <c r="DQ6" vm="604">
        <f ca="1"/>
        <v>769.85</v>
      </c>
      <c r="DR6" vm="605">
        <f ca="1"/>
        <v>781.25</v>
      </c>
      <c r="DS6" vm="606">
        <f ca="1"/>
        <v>776.05</v>
      </c>
      <c r="DT6" vm="607">
        <f ca="1"/>
        <v>764.6</v>
      </c>
      <c r="DU6" vm="608">
        <f ca="1"/>
        <v>769.8</v>
      </c>
      <c r="DV6" vm="609">
        <f ca="1"/>
        <v>786.05</v>
      </c>
      <c r="DW6" vm="610">
        <f ca="1"/>
        <v>774.05</v>
      </c>
      <c r="DX6" vm="611">
        <f ca="1"/>
        <v>772.25</v>
      </c>
      <c r="DY6" vm="612">
        <f ca="1"/>
        <v>777.6</v>
      </c>
      <c r="DZ6" vm="613">
        <f ca="1"/>
        <v>773.2</v>
      </c>
      <c r="EA6" vm="614">
        <f ca="1"/>
        <v>765.55</v>
      </c>
      <c r="EB6" vm="615">
        <f ca="1"/>
        <v>741.3</v>
      </c>
      <c r="EC6" vm="616">
        <f ca="1"/>
        <v>741.8</v>
      </c>
      <c r="ED6" vm="617">
        <f ca="1"/>
        <v>747.2</v>
      </c>
      <c r="EE6" vm="617">
        <f ca="1"/>
        <v>747.2</v>
      </c>
      <c r="EF6" vm="618">
        <f ca="1"/>
        <v>749.75</v>
      </c>
      <c r="EG6" vm="619">
        <f ca="1"/>
        <v>712.3</v>
      </c>
      <c r="EH6" vm="620">
        <f ca="1"/>
        <v>728.1</v>
      </c>
      <c r="EI6" vm="621">
        <f ca="1"/>
        <v>729.65</v>
      </c>
      <c r="EJ6" vm="622">
        <f ca="1"/>
        <v>725.3</v>
      </c>
      <c r="EK6" vm="623">
        <f ca="1"/>
        <v>728.2</v>
      </c>
      <c r="EL6" vm="624">
        <f ca="1"/>
        <v>738.8</v>
      </c>
      <c r="EM6" vm="625">
        <f ca="1"/>
        <v>740.25</v>
      </c>
      <c r="EN6" vm="626">
        <f ca="1"/>
        <v>744</v>
      </c>
      <c r="EO6" vm="627">
        <f ca="1"/>
        <v>730.3</v>
      </c>
      <c r="EP6" vm="628">
        <f ca="1"/>
        <v>740.95</v>
      </c>
      <c r="EQ6" vm="629">
        <f ca="1"/>
        <v>736.45</v>
      </c>
      <c r="ER6" vm="617">
        <f ca="1"/>
        <v>747.2</v>
      </c>
      <c r="ES6" vm="630">
        <f ca="1"/>
        <v>722.1</v>
      </c>
      <c r="ET6" vm="631">
        <f ca="1"/>
        <v>721.25</v>
      </c>
      <c r="EU6" vm="630">
        <f ca="1"/>
        <v>722.1</v>
      </c>
      <c r="EV6" vm="632">
        <f ca="1"/>
        <v>713.05</v>
      </c>
      <c r="EW6" vm="633">
        <f ca="1"/>
        <v>708.75</v>
      </c>
      <c r="EX6" vm="634">
        <f ca="1"/>
        <v>695.45</v>
      </c>
      <c r="EY6" vm="635">
        <f ca="1"/>
        <v>705.15</v>
      </c>
      <c r="EZ6" vm="636">
        <f ca="1"/>
        <v>711.55</v>
      </c>
      <c r="FA6" vm="637">
        <f ca="1"/>
        <v>705.65</v>
      </c>
      <c r="FB6" vm="638">
        <f ca="1"/>
        <v>700.9</v>
      </c>
      <c r="FC6" vm="639">
        <f ca="1"/>
        <v>680.35</v>
      </c>
      <c r="FD6" vm="640">
        <f ca="1"/>
        <v>649.6</v>
      </c>
      <c r="FE6" vm="641">
        <f ca="1"/>
        <v>640.1</v>
      </c>
      <c r="FF6" vm="642">
        <f ca="1"/>
        <v>625.20000000000005</v>
      </c>
      <c r="FG6" vm="643">
        <f ca="1"/>
        <v>628.45000000000005</v>
      </c>
      <c r="FH6" vm="644">
        <f ca="1"/>
        <v>611.35</v>
      </c>
      <c r="FI6" vm="645">
        <f ca="1"/>
        <v>608.1</v>
      </c>
      <c r="FJ6" vm="646">
        <f ca="1"/>
        <v>613.1</v>
      </c>
      <c r="FK6" vm="647">
        <f ca="1"/>
        <v>616.20000000000005</v>
      </c>
      <c r="FL6" vm="648">
        <f ca="1"/>
        <v>624.70000000000005</v>
      </c>
      <c r="FM6" vm="649">
        <f ca="1"/>
        <v>616.35</v>
      </c>
      <c r="FN6" vm="507">
        <f ca="1"/>
        <v>617.45000000000005</v>
      </c>
      <c r="FO6" vm="650">
        <f ca="1"/>
        <v>609.45000000000005</v>
      </c>
      <c r="FP6" vm="651">
        <f ca="1"/>
        <v>615.79999999999995</v>
      </c>
      <c r="FQ6" vm="652">
        <f ca="1"/>
        <v>615.35</v>
      </c>
      <c r="FR6" vm="653">
        <f ca="1"/>
        <v>621.25</v>
      </c>
      <c r="FS6" vm="654">
        <f ca="1"/>
        <v>613.29999999999995</v>
      </c>
      <c r="FT6" vm="655">
        <f ca="1"/>
        <v>607.25</v>
      </c>
      <c r="FU6" vm="656">
        <f ca="1"/>
        <v>609.29999999999995</v>
      </c>
      <c r="FV6" vm="657">
        <f ca="1"/>
        <v>595.85</v>
      </c>
      <c r="FW6" vm="658">
        <f ca="1"/>
        <v>586.9</v>
      </c>
      <c r="FX6" vm="659">
        <f ca="1"/>
        <v>587.70000000000005</v>
      </c>
      <c r="FY6" vm="660">
        <f ca="1"/>
        <v>594.04999999999995</v>
      </c>
      <c r="FZ6" vm="661">
        <f ca="1"/>
        <v>590.25</v>
      </c>
      <c r="GA6" vm="662">
        <f ca="1"/>
        <v>590.5</v>
      </c>
      <c r="GB6" vm="663">
        <f ca="1"/>
        <v>599.20000000000005</v>
      </c>
      <c r="GC6" vm="505">
        <f ca="1"/>
        <v>594.29999999999995</v>
      </c>
      <c r="GD6" vm="664">
        <f ca="1"/>
        <v>605.1</v>
      </c>
      <c r="GE6" vm="665">
        <f ca="1"/>
        <v>602.25</v>
      </c>
      <c r="GF6" vm="666">
        <f ca="1"/>
        <v>606.25</v>
      </c>
      <c r="GG6" vm="667">
        <f ca="1"/>
        <v>594.85</v>
      </c>
      <c r="GH6" vm="668">
        <f ca="1"/>
        <v>585.1</v>
      </c>
      <c r="GI6" vm="669">
        <f ca="1"/>
        <v>580.1</v>
      </c>
      <c r="GJ6" vm="670">
        <f ca="1"/>
        <v>585.65</v>
      </c>
      <c r="GK6" vm="671">
        <f ca="1"/>
        <v>589.9</v>
      </c>
      <c r="GL6" vm="672">
        <f ca="1"/>
        <v>592.35</v>
      </c>
      <c r="GM6" vm="673">
        <f ca="1"/>
        <v>594.6</v>
      </c>
      <c r="GN6" vm="674">
        <f ca="1"/>
        <v>593.04999999999995</v>
      </c>
      <c r="GO6" vm="675">
        <f ca="1"/>
        <v>595.6</v>
      </c>
      <c r="GP6" vm="676">
        <f ca="1"/>
        <v>593.65</v>
      </c>
      <c r="GQ6" vm="661">
        <f ca="1"/>
        <v>590.25</v>
      </c>
      <c r="GR6" vm="677">
        <f ca="1"/>
        <v>583.25</v>
      </c>
      <c r="GS6" vm="678">
        <f ca="1"/>
        <v>579.04999999999995</v>
      </c>
      <c r="GT6" vm="679">
        <f ca="1"/>
        <v>563.25</v>
      </c>
      <c r="GU6" vm="680">
        <f ca="1"/>
        <v>569.70000000000005</v>
      </c>
      <c r="GV6" vm="681">
        <f ca="1"/>
        <v>580.25</v>
      </c>
      <c r="GW6" vm="682">
        <f ca="1"/>
        <v>580.85</v>
      </c>
      <c r="GX6" vm="683">
        <f ca="1"/>
        <v>573</v>
      </c>
      <c r="GY6" vm="684">
        <f ca="1"/>
        <v>570.65</v>
      </c>
      <c r="GZ6" vm="685">
        <f ca="1"/>
        <v>577.35</v>
      </c>
      <c r="HA6" vm="686">
        <f ca="1"/>
        <v>591.85</v>
      </c>
      <c r="HB6" vm="687">
        <f ca="1"/>
        <v>600.95000000000005</v>
      </c>
      <c r="HC6" vm="688">
        <f ca="1"/>
        <v>604.65</v>
      </c>
      <c r="HD6" vm="689">
        <f ca="1"/>
        <v>605.04999999999995</v>
      </c>
      <c r="HE6" vm="690">
        <f ca="1"/>
        <v>608.65</v>
      </c>
      <c r="HF6" vm="691">
        <f ca="1"/>
        <v>599.4</v>
      </c>
      <c r="HG6" vm="692">
        <f ca="1"/>
        <v>611.6</v>
      </c>
      <c r="HH6" vm="693">
        <f ca="1"/>
        <v>608.20000000000005</v>
      </c>
      <c r="HI6" vm="694">
        <f ca="1"/>
        <v>603.1</v>
      </c>
      <c r="HJ6" vm="695">
        <f ca="1"/>
        <v>604.35</v>
      </c>
      <c r="HK6" vm="696">
        <f ca="1"/>
        <v>610.6</v>
      </c>
      <c r="HL6" vm="697">
        <f ca="1"/>
        <v>606.79999999999995</v>
      </c>
      <c r="HM6" vm="698">
        <f ca="1"/>
        <v>611.70000000000005</v>
      </c>
      <c r="HN6" vm="699">
        <f ca="1"/>
        <v>620.85</v>
      </c>
      <c r="HO6" vm="700">
        <f ca="1"/>
        <v>623.6</v>
      </c>
      <c r="HP6" vm="701">
        <f ca="1"/>
        <v>633</v>
      </c>
      <c r="HQ6" vm="702">
        <f ca="1"/>
        <v>623.70000000000005</v>
      </c>
      <c r="HR6" vm="703">
        <f ca="1"/>
        <v>635.85</v>
      </c>
      <c r="HS6" vm="704">
        <f ca="1"/>
        <v>634.9</v>
      </c>
      <c r="HT6" vm="705">
        <f ca="1"/>
        <v>639.65</v>
      </c>
      <c r="HU6" vm="706">
        <f ca="1"/>
        <v>642.04999999999995</v>
      </c>
      <c r="HV6" vm="707">
        <f ca="1"/>
        <v>638.25</v>
      </c>
      <c r="HW6" vm="708">
        <f ca="1"/>
        <v>646.85</v>
      </c>
      <c r="HX6" vm="709">
        <f ca="1"/>
        <v>643.20000000000005</v>
      </c>
      <c r="HY6" vm="710">
        <f ca="1"/>
        <v>639.29999999999995</v>
      </c>
      <c r="HZ6" vm="711">
        <f ca="1"/>
        <v>631.4</v>
      </c>
      <c r="IA6" vm="712">
        <f ca="1"/>
        <v>626.35</v>
      </c>
      <c r="IB6" vm="713">
        <f ca="1"/>
        <v>644.9</v>
      </c>
      <c r="IC6" vm="714">
        <f ca="1"/>
        <v>661.2</v>
      </c>
      <c r="ID6" vm="715">
        <f ca="1"/>
        <v>661.7</v>
      </c>
      <c r="IE6" vm="716">
        <f ca="1"/>
        <v>668.45</v>
      </c>
      <c r="IF6" vm="717">
        <f ca="1"/>
        <v>672.75</v>
      </c>
      <c r="IG6" vm="718">
        <f ca="1"/>
        <v>673.7</v>
      </c>
      <c r="IH6" vm="719">
        <f ca="1"/>
        <v>670.45</v>
      </c>
      <c r="II6" vm="720">
        <f ca="1"/>
        <v>670.95</v>
      </c>
      <c r="IJ6" vm="721">
        <f ca="1"/>
        <v>659.45</v>
      </c>
      <c r="IK6" vm="722">
        <f ca="1"/>
        <v>667.05</v>
      </c>
      <c r="IL6" vm="522">
        <f ca="1"/>
        <v>671.5</v>
      </c>
      <c r="IM6" vm="723">
        <f ca="1"/>
        <v>670.3</v>
      </c>
      <c r="IN6" vm="724">
        <f ca="1"/>
        <v>672.6</v>
      </c>
      <c r="IO6" vm="725">
        <f ca="1"/>
        <v>674.15</v>
      </c>
      <c r="IP6" vm="726">
        <f ca="1"/>
        <v>673.45</v>
      </c>
      <c r="IQ6" vm="727">
        <f ca="1"/>
        <v>663.4</v>
      </c>
      <c r="IR6" vm="728">
        <f ca="1"/>
        <v>651.04999999999995</v>
      </c>
      <c r="IS6" vm="729">
        <f ca="1"/>
        <v>662.3</v>
      </c>
      <c r="IT6" vm="721">
        <f ca="1"/>
        <v>659.45</v>
      </c>
      <c r="IU6" vm="730">
        <f ca="1"/>
        <v>668.3</v>
      </c>
      <c r="IV6" vm="731">
        <f ca="1"/>
        <v>660.95</v>
      </c>
      <c r="IW6" vm="732">
        <f ca="1"/>
        <v>636.35</v>
      </c>
      <c r="IX6" vm="733">
        <f ca="1"/>
        <v>653.15</v>
      </c>
      <c r="IY6" vm="734">
        <f ca="1"/>
        <v>642.45000000000005</v>
      </c>
    </row>
    <row r="7" spans="1:259" x14ac:dyDescent="0.3">
      <c r="A7" t="e" vm="735">
        <v>#VALUE!</v>
      </c>
      <c r="B7" t="str">
        <v>Personal &amp; Household Products &amp; Services</v>
      </c>
      <c r="C7">
        <v>12</v>
      </c>
      <c r="D7" s="8">
        <v>2648</v>
      </c>
      <c r="E7" s="8">
        <v>31776</v>
      </c>
      <c r="F7" s="8">
        <v>2654.35</v>
      </c>
      <c r="G7" s="15">
        <f t="shared" si="0"/>
        <v>31852.199999999997</v>
      </c>
      <c r="H7" s="13">
        <f t="shared" si="1"/>
        <v>76.19999999999709</v>
      </c>
      <c r="I7" s="14">
        <v>9.8486278952667761E-3</v>
      </c>
      <c r="L7" cm="1" vm="736">
        <f t="array" aca="1" ref="L7:IY7" ca="1">TRANSPOSE(_xlfn.STOCKHISTORY(A7, TODAY()-365, TODAY(), 0, 0,1))</f>
        <v>2252.6</v>
      </c>
      <c r="M7" vm="737">
        <f ca="1"/>
        <v>2303.9</v>
      </c>
      <c r="N7" vm="738">
        <f ca="1"/>
        <v>2320.65</v>
      </c>
      <c r="O7" vm="739">
        <f ca="1"/>
        <v>2317.65</v>
      </c>
      <c r="P7" vm="740">
        <f ca="1"/>
        <v>2233.4499999999998</v>
      </c>
      <c r="Q7" vm="741">
        <f ca="1"/>
        <v>2230.6</v>
      </c>
      <c r="R7" vm="742">
        <f ca="1"/>
        <v>2282.35</v>
      </c>
      <c r="S7" vm="743">
        <f ca="1"/>
        <v>2375.1999999999998</v>
      </c>
      <c r="T7" vm="744">
        <f ca="1"/>
        <v>2401.5</v>
      </c>
      <c r="U7" vm="745">
        <f ca="1"/>
        <v>2498.4</v>
      </c>
      <c r="V7" vm="746">
        <f ca="1"/>
        <v>2472.9499999999998</v>
      </c>
      <c r="W7" vm="747">
        <f ca="1"/>
        <v>2496.85</v>
      </c>
      <c r="X7" vm="748">
        <f ca="1"/>
        <v>2490.6</v>
      </c>
      <c r="Y7" vm="749">
        <f ca="1"/>
        <v>2449.5500000000002</v>
      </c>
      <c r="Z7" vm="750">
        <f ca="1"/>
        <v>2497.75</v>
      </c>
      <c r="AA7" vm="751">
        <f ca="1"/>
        <v>2497.8000000000002</v>
      </c>
      <c r="AB7" vm="752">
        <f ca="1"/>
        <v>2568.5</v>
      </c>
      <c r="AC7" vm="753">
        <f ca="1"/>
        <v>2553.5</v>
      </c>
      <c r="AD7" vm="754">
        <f ca="1"/>
        <v>2567.9499999999998</v>
      </c>
      <c r="AE7" vm="755">
        <f ca="1"/>
        <v>2604.5</v>
      </c>
      <c r="AF7" vm="756">
        <f ca="1"/>
        <v>2607.4499999999998</v>
      </c>
      <c r="AG7" vm="757">
        <f ca="1"/>
        <v>2640.6</v>
      </c>
      <c r="AH7" vm="758">
        <f ca="1"/>
        <v>2623.6</v>
      </c>
      <c r="AI7" vm="759">
        <f ca="1"/>
        <v>2547.1</v>
      </c>
      <c r="AJ7" vm="760">
        <f ca="1"/>
        <v>2581.9499999999998</v>
      </c>
      <c r="AK7" vm="761">
        <f ca="1"/>
        <v>2620.1</v>
      </c>
      <c r="AL7" vm="762">
        <f ca="1"/>
        <v>2637.4</v>
      </c>
      <c r="AM7" vm="763">
        <f ca="1"/>
        <v>2593</v>
      </c>
      <c r="AN7" vm="764">
        <f ca="1"/>
        <v>2635.25</v>
      </c>
      <c r="AO7" vm="765">
        <f ca="1"/>
        <v>2626.35</v>
      </c>
      <c r="AP7" vm="766">
        <f ca="1"/>
        <v>2627.95</v>
      </c>
      <c r="AQ7" vm="767">
        <f ca="1"/>
        <v>2645.4</v>
      </c>
      <c r="AR7" vm="768">
        <f ca="1"/>
        <v>2650.35</v>
      </c>
      <c r="AS7" vm="769">
        <f ca="1"/>
        <v>2642.8</v>
      </c>
      <c r="AT7" vm="770">
        <f ca="1"/>
        <v>2613.6999999999998</v>
      </c>
      <c r="AU7" vm="771">
        <f ca="1"/>
        <v>2594.9499999999998</v>
      </c>
      <c r="AV7" vm="772">
        <f ca="1"/>
        <v>2644.5</v>
      </c>
      <c r="AW7" vm="773">
        <f ca="1"/>
        <v>2684.65</v>
      </c>
      <c r="AX7" vm="774">
        <f ca="1"/>
        <v>2682.05</v>
      </c>
      <c r="AY7" vm="775">
        <f ca="1"/>
        <v>2634.55</v>
      </c>
      <c r="AZ7" vm="776">
        <f ca="1"/>
        <v>2626.7</v>
      </c>
      <c r="BA7" vm="777">
        <f ca="1"/>
        <v>2592.75</v>
      </c>
      <c r="BB7" vm="778">
        <f ca="1"/>
        <v>2588.25</v>
      </c>
      <c r="BC7" vm="779">
        <f ca="1"/>
        <v>2574.1999999999998</v>
      </c>
      <c r="BD7" vm="780">
        <f ca="1"/>
        <v>2571.5500000000002</v>
      </c>
      <c r="BE7" vm="781">
        <f ca="1"/>
        <v>2575.8000000000002</v>
      </c>
      <c r="BF7" vm="782">
        <f ca="1"/>
        <v>2659.85</v>
      </c>
      <c r="BG7" vm="783">
        <f ca="1"/>
        <v>2606</v>
      </c>
      <c r="BH7" vm="784">
        <f ca="1"/>
        <v>2603.6</v>
      </c>
      <c r="BI7" vm="785">
        <f ca="1"/>
        <v>2600.6</v>
      </c>
      <c r="BJ7" vm="786">
        <f ca="1"/>
        <v>2573.1</v>
      </c>
      <c r="BK7" vm="787">
        <f ca="1"/>
        <v>2564.6</v>
      </c>
      <c r="BL7" vm="788">
        <f ca="1"/>
        <v>2577.15</v>
      </c>
      <c r="BM7" vm="789">
        <f ca="1"/>
        <v>2588.6999999999998</v>
      </c>
      <c r="BN7" vm="790">
        <f ca="1"/>
        <v>2580.4</v>
      </c>
      <c r="BO7" vm="791">
        <f ca="1"/>
        <v>2586.6</v>
      </c>
      <c r="BP7" vm="792">
        <f ca="1"/>
        <v>2571.4</v>
      </c>
      <c r="BQ7" vm="793">
        <f ca="1"/>
        <v>2560.4</v>
      </c>
      <c r="BR7" vm="794">
        <f ca="1"/>
        <v>2528.15</v>
      </c>
      <c r="BS7" vm="795">
        <f ca="1"/>
        <v>2579.25</v>
      </c>
      <c r="BT7" vm="796">
        <f ca="1"/>
        <v>2583.5500000000002</v>
      </c>
      <c r="BU7" vm="758">
        <f ca="1"/>
        <v>2623.6</v>
      </c>
      <c r="BV7" vm="797">
        <f ca="1"/>
        <v>2692.75</v>
      </c>
      <c r="BW7" vm="774">
        <f ca="1"/>
        <v>2682.05</v>
      </c>
      <c r="BX7" vm="798">
        <f ca="1"/>
        <v>2660.55</v>
      </c>
      <c r="BY7" vm="799">
        <f ca="1"/>
        <v>2679.25</v>
      </c>
      <c r="BZ7" vm="800">
        <f ca="1"/>
        <v>2702.1</v>
      </c>
      <c r="CA7" vm="801">
        <f ca="1"/>
        <v>2700.55</v>
      </c>
      <c r="CB7" vm="802">
        <f ca="1"/>
        <v>2696.45</v>
      </c>
      <c r="CC7" vm="803">
        <f ca="1"/>
        <v>2622.5</v>
      </c>
      <c r="CD7" vm="804">
        <f ca="1"/>
        <v>2667.95</v>
      </c>
      <c r="CE7" vm="805">
        <f ca="1"/>
        <v>2614</v>
      </c>
      <c r="CF7" vm="806">
        <f ca="1"/>
        <v>2599.6999999999998</v>
      </c>
      <c r="CG7" vm="807">
        <f ca="1"/>
        <v>2605.6</v>
      </c>
      <c r="CH7" vm="808">
        <f ca="1"/>
        <v>2550.65</v>
      </c>
      <c r="CI7" vm="809">
        <f ca="1"/>
        <v>2591.35</v>
      </c>
      <c r="CJ7" vm="810">
        <f ca="1"/>
        <v>2566.4</v>
      </c>
      <c r="CK7" vm="781">
        <f ca="1"/>
        <v>2575.8000000000002</v>
      </c>
      <c r="CL7" vm="811">
        <f ca="1"/>
        <v>2590.5500000000002</v>
      </c>
      <c r="CM7" vm="812">
        <f ca="1"/>
        <v>2602.25</v>
      </c>
      <c r="CN7" vm="813">
        <f ca="1"/>
        <v>2583</v>
      </c>
      <c r="CO7" vm="814">
        <f ca="1"/>
        <v>2600.9</v>
      </c>
      <c r="CP7" vm="815">
        <f ca="1"/>
        <v>2653.9</v>
      </c>
      <c r="CQ7" vm="786">
        <f ca="1"/>
        <v>2573.1</v>
      </c>
      <c r="CR7" vm="816">
        <f ca="1"/>
        <v>2505.4</v>
      </c>
      <c r="CS7" vm="817">
        <f ca="1"/>
        <v>2519</v>
      </c>
      <c r="CT7" vm="818">
        <f ca="1"/>
        <v>2524.25</v>
      </c>
      <c r="CU7" vm="819">
        <f ca="1"/>
        <v>2550.6999999999998</v>
      </c>
      <c r="CV7" vm="820">
        <f ca="1"/>
        <v>2551.8000000000002</v>
      </c>
      <c r="CW7" vm="821">
        <f ca="1"/>
        <v>2518.3000000000002</v>
      </c>
      <c r="CX7" vm="822">
        <f ca="1"/>
        <v>2546.35</v>
      </c>
      <c r="CY7" vm="823">
        <f ca="1"/>
        <v>2520.35</v>
      </c>
      <c r="CZ7" vm="824">
        <f ca="1"/>
        <v>2532.8000000000002</v>
      </c>
      <c r="DA7" vm="825">
        <f ca="1"/>
        <v>2508.8000000000002</v>
      </c>
      <c r="DB7" vm="826">
        <f ca="1"/>
        <v>2513.6</v>
      </c>
      <c r="DC7" vm="827">
        <f ca="1"/>
        <v>2503.0500000000002</v>
      </c>
      <c r="DD7" vm="828">
        <f ca="1"/>
        <v>2457.8000000000002</v>
      </c>
      <c r="DE7" vm="829">
        <f ca="1"/>
        <v>2457.5</v>
      </c>
      <c r="DF7" vm="830">
        <f ca="1"/>
        <v>2477.85</v>
      </c>
      <c r="DG7" vm="831">
        <f ca="1"/>
        <v>2460</v>
      </c>
      <c r="DH7" vm="832">
        <f ca="1"/>
        <v>2483.6999999999998</v>
      </c>
      <c r="DI7" vm="833">
        <f ca="1"/>
        <v>2501.4</v>
      </c>
      <c r="DJ7" vm="834">
        <f ca="1"/>
        <v>2515.6999999999998</v>
      </c>
      <c r="DK7" vm="835">
        <f ca="1"/>
        <v>2507.35</v>
      </c>
      <c r="DL7" vm="836">
        <f ca="1"/>
        <v>2549.15</v>
      </c>
      <c r="DM7" vm="837">
        <f ca="1"/>
        <v>2537.4499999999998</v>
      </c>
      <c r="DN7" vm="838">
        <f ca="1"/>
        <v>2525.1999999999998</v>
      </c>
      <c r="DO7" vm="839">
        <f ca="1"/>
        <v>2634.2</v>
      </c>
      <c r="DP7" vm="840">
        <f ca="1"/>
        <v>2684.35</v>
      </c>
      <c r="DQ7" vm="841">
        <f ca="1"/>
        <v>2662.85</v>
      </c>
      <c r="DR7" vm="842">
        <f ca="1"/>
        <v>2615.1</v>
      </c>
      <c r="DS7" vm="843">
        <f ca="1"/>
        <v>2619.85</v>
      </c>
      <c r="DT7" vm="844">
        <f ca="1"/>
        <v>2654.55</v>
      </c>
      <c r="DU7" vm="845">
        <f ca="1"/>
        <v>2707.35</v>
      </c>
      <c r="DV7" vm="846">
        <f ca="1"/>
        <v>2705.45</v>
      </c>
      <c r="DW7" vm="276">
        <f ca="1"/>
        <v>2722.25</v>
      </c>
      <c r="DX7" vm="847">
        <f ca="1"/>
        <v>2717.25</v>
      </c>
      <c r="DY7" vm="848">
        <f ca="1"/>
        <v>2710.3</v>
      </c>
      <c r="DZ7" vm="773">
        <f ca="1"/>
        <v>2684.65</v>
      </c>
      <c r="EA7" vm="849">
        <f ca="1"/>
        <v>2663.25</v>
      </c>
      <c r="EB7" vm="850">
        <f ca="1"/>
        <v>2671.3</v>
      </c>
      <c r="EC7" vm="851">
        <f ca="1"/>
        <v>2718.1</v>
      </c>
      <c r="ED7" vm="852">
        <f ca="1"/>
        <v>2674.55</v>
      </c>
      <c r="EE7" vm="853">
        <f ca="1"/>
        <v>2666.2</v>
      </c>
      <c r="EF7" vm="854">
        <f ca="1"/>
        <v>2645.35</v>
      </c>
      <c r="EG7" vm="855">
        <f ca="1"/>
        <v>2621.1</v>
      </c>
      <c r="EH7" vm="856">
        <f ca="1"/>
        <v>2617.4499999999998</v>
      </c>
      <c r="EI7" vm="857">
        <f ca="1"/>
        <v>2593.25</v>
      </c>
      <c r="EJ7" vm="858">
        <f ca="1"/>
        <v>2583.6</v>
      </c>
      <c r="EK7" vm="859">
        <f ca="1"/>
        <v>2568.0500000000002</v>
      </c>
      <c r="EL7" vm="860">
        <f ca="1"/>
        <v>2561.0500000000002</v>
      </c>
      <c r="EM7" vm="861">
        <f ca="1"/>
        <v>2558.4</v>
      </c>
      <c r="EN7" vm="862">
        <f ca="1"/>
        <v>2542.0500000000002</v>
      </c>
      <c r="EO7" vm="863">
        <f ca="1"/>
        <v>2536.1</v>
      </c>
      <c r="EP7" vm="864">
        <f ca="1"/>
        <v>2583.6999999999998</v>
      </c>
      <c r="EQ7" vm="865">
        <f ca="1"/>
        <v>2576.4499999999998</v>
      </c>
      <c r="ER7" vm="866">
        <f ca="1"/>
        <v>2624.05</v>
      </c>
      <c r="ES7" vm="867">
        <f ca="1"/>
        <v>2643.85</v>
      </c>
      <c r="ET7" vm="857">
        <f ca="1"/>
        <v>2593.25</v>
      </c>
      <c r="EU7" vm="868">
        <f ca="1"/>
        <v>2590.0500000000002</v>
      </c>
      <c r="EV7" vm="869">
        <f ca="1"/>
        <v>2624</v>
      </c>
      <c r="EW7" vm="870">
        <f ca="1"/>
        <v>2597.1</v>
      </c>
      <c r="EX7" vm="871">
        <f ca="1"/>
        <v>2667.55</v>
      </c>
      <c r="EY7" vm="872">
        <f ca="1"/>
        <v>2686.2</v>
      </c>
      <c r="EZ7" vm="873">
        <f ca="1"/>
        <v>2649.75</v>
      </c>
      <c r="FA7" vm="874">
        <f ca="1"/>
        <v>2548.75</v>
      </c>
      <c r="FB7" vm="875">
        <f ca="1"/>
        <v>2596.4</v>
      </c>
      <c r="FC7" vm="876">
        <f ca="1"/>
        <v>2600.5</v>
      </c>
      <c r="FD7" vm="877">
        <f ca="1"/>
        <v>2622.35</v>
      </c>
      <c r="FE7" vm="878">
        <f ca="1"/>
        <v>2612.15</v>
      </c>
      <c r="FF7" vm="879">
        <f ca="1"/>
        <v>2568.15</v>
      </c>
      <c r="FG7" vm="880">
        <f ca="1"/>
        <v>2576.75</v>
      </c>
      <c r="FH7" vm="881">
        <f ca="1"/>
        <v>2574.25</v>
      </c>
      <c r="FI7" vm="882">
        <f ca="1"/>
        <v>2634.85</v>
      </c>
      <c r="FJ7" vm="883">
        <f ca="1"/>
        <v>2648.75</v>
      </c>
      <c r="FK7" vm="884">
        <f ca="1"/>
        <v>2637.6</v>
      </c>
      <c r="FL7" vm="885">
        <f ca="1"/>
        <v>2601.1999999999998</v>
      </c>
      <c r="FM7" vm="886">
        <f ca="1"/>
        <v>2582.8000000000002</v>
      </c>
      <c r="FN7" vm="887">
        <f ca="1"/>
        <v>2586.6999999999998</v>
      </c>
      <c r="FO7" vm="888">
        <f ca="1"/>
        <v>2577.5</v>
      </c>
      <c r="FP7" vm="889">
        <f ca="1"/>
        <v>2581</v>
      </c>
      <c r="FQ7" vm="890">
        <f ca="1"/>
        <v>2579.6</v>
      </c>
      <c r="FR7" vm="891">
        <f ca="1"/>
        <v>2548.4499999999998</v>
      </c>
      <c r="FS7" vm="892">
        <f ca="1"/>
        <v>2527.1</v>
      </c>
      <c r="FT7" vm="893">
        <f ca="1"/>
        <v>2515.5</v>
      </c>
      <c r="FU7" vm="894">
        <f ca="1"/>
        <v>2511.4499999999998</v>
      </c>
      <c r="FV7" vm="895">
        <f ca="1"/>
        <v>2516.15</v>
      </c>
      <c r="FW7" vm="896">
        <f ca="1"/>
        <v>2494.0500000000002</v>
      </c>
      <c r="FX7" vm="897">
        <f ca="1"/>
        <v>2490.65</v>
      </c>
      <c r="FY7" vm="898">
        <f ca="1"/>
        <v>2484.1999999999998</v>
      </c>
      <c r="FZ7" vm="899">
        <f ca="1"/>
        <v>2468.15</v>
      </c>
      <c r="GA7" vm="900">
        <f ca="1"/>
        <v>2460.65</v>
      </c>
      <c r="GB7" vm="901">
        <f ca="1"/>
        <v>2466.25</v>
      </c>
      <c r="GC7" vm="902">
        <f ca="1"/>
        <v>2455.35</v>
      </c>
      <c r="GD7" vm="903">
        <f ca="1"/>
        <v>2471</v>
      </c>
      <c r="GE7" vm="904">
        <f ca="1"/>
        <v>2484.85</v>
      </c>
      <c r="GF7" vm="905">
        <f ca="1"/>
        <v>2485.1</v>
      </c>
      <c r="GG7" vm="906">
        <f ca="1"/>
        <v>2461.4</v>
      </c>
      <c r="GH7" vm="907">
        <f ca="1"/>
        <v>2465.4499999999998</v>
      </c>
      <c r="GI7" vm="908">
        <f ca="1"/>
        <v>2455.1</v>
      </c>
      <c r="GJ7" vm="909">
        <f ca="1"/>
        <v>2442.4499999999998</v>
      </c>
      <c r="GK7" vm="910">
        <f ca="1"/>
        <v>2406.1</v>
      </c>
      <c r="GL7" vm="911">
        <f ca="1"/>
        <v>2459.35</v>
      </c>
      <c r="GM7" vm="912">
        <f ca="1"/>
        <v>2447.4</v>
      </c>
      <c r="GN7" vm="913">
        <f ca="1"/>
        <v>2511.1999999999998</v>
      </c>
      <c r="GO7" vm="914">
        <f ca="1"/>
        <v>2462.6</v>
      </c>
      <c r="GP7" vm="915">
        <f ca="1"/>
        <v>2476.35</v>
      </c>
      <c r="GQ7" vm="905">
        <f ca="1"/>
        <v>2485.1</v>
      </c>
      <c r="GR7" vm="916">
        <f ca="1"/>
        <v>2480.8000000000002</v>
      </c>
      <c r="GS7" vm="917">
        <f ca="1"/>
        <v>2499</v>
      </c>
      <c r="GT7" vm="918">
        <f ca="1"/>
        <v>2482.8000000000002</v>
      </c>
      <c r="GU7" vm="919">
        <f ca="1"/>
        <v>2530.85</v>
      </c>
      <c r="GV7" vm="920">
        <f ca="1"/>
        <v>2560.35</v>
      </c>
      <c r="GW7" vm="863">
        <f ca="1"/>
        <v>2536.1</v>
      </c>
      <c r="GX7" vm="921">
        <f ca="1"/>
        <v>2582.75</v>
      </c>
      <c r="GY7" vm="922">
        <f ca="1"/>
        <v>2565.25</v>
      </c>
      <c r="GZ7" vm="923">
        <f ca="1"/>
        <v>2532.15</v>
      </c>
      <c r="HA7" vm="924">
        <f ca="1"/>
        <v>2547.75</v>
      </c>
      <c r="HB7" vm="925">
        <f ca="1"/>
        <v>2528.9499999999998</v>
      </c>
      <c r="HC7" vm="926">
        <f ca="1"/>
        <v>2536.1999999999998</v>
      </c>
      <c r="HD7" vm="927">
        <f ca="1"/>
        <v>2551.85</v>
      </c>
      <c r="HE7" vm="928">
        <f ca="1"/>
        <v>2541.0500000000002</v>
      </c>
      <c r="HF7" vm="929">
        <f ca="1"/>
        <v>2531.6</v>
      </c>
      <c r="HG7" vm="930">
        <f ca="1"/>
        <v>2492.6</v>
      </c>
      <c r="HH7" vm="931">
        <f ca="1"/>
        <v>2497.9499999999998</v>
      </c>
      <c r="HI7" vm="932">
        <f ca="1"/>
        <v>2499.75</v>
      </c>
      <c r="HJ7" vm="933">
        <f ca="1"/>
        <v>2490.4499999999998</v>
      </c>
      <c r="HK7" vm="934">
        <f ca="1"/>
        <v>2510.8000000000002</v>
      </c>
      <c r="HL7" vm="935">
        <f ca="1"/>
        <v>2468.9499999999998</v>
      </c>
      <c r="HM7" vm="936">
        <f ca="1"/>
        <v>2457.3000000000002</v>
      </c>
      <c r="HN7" vm="937">
        <f ca="1"/>
        <v>2451.6999999999998</v>
      </c>
      <c r="HO7" vm="938">
        <f ca="1"/>
        <v>2486</v>
      </c>
      <c r="HP7" vm="939">
        <f ca="1"/>
        <v>2506.75</v>
      </c>
      <c r="HQ7" vm="940">
        <f ca="1"/>
        <v>2500.75</v>
      </c>
      <c r="HR7" vm="941">
        <f ca="1"/>
        <v>2516.3000000000002</v>
      </c>
      <c r="HS7" vm="942">
        <f ca="1"/>
        <v>2515.8000000000002</v>
      </c>
      <c r="HT7" vm="943">
        <f ca="1"/>
        <v>2522.6999999999998</v>
      </c>
      <c r="HU7" vm="944">
        <f ca="1"/>
        <v>2592.4</v>
      </c>
      <c r="HV7" vm="945">
        <f ca="1"/>
        <v>2623.4</v>
      </c>
      <c r="HW7" vm="946">
        <f ca="1"/>
        <v>2662.25</v>
      </c>
      <c r="HX7" vm="947">
        <f ca="1"/>
        <v>2675.9</v>
      </c>
      <c r="HY7" vm="948">
        <f ca="1"/>
        <v>2661.75</v>
      </c>
      <c r="HZ7" vm="949">
        <f ca="1"/>
        <v>2627.55</v>
      </c>
      <c r="IA7" vm="950">
        <f ca="1"/>
        <v>2641.45</v>
      </c>
      <c r="IB7" vm="951">
        <f ca="1"/>
        <v>2638.1</v>
      </c>
      <c r="IC7" vm="952">
        <f ca="1"/>
        <v>2628.3</v>
      </c>
      <c r="ID7" vm="953">
        <f ca="1"/>
        <v>2614.9499999999998</v>
      </c>
      <c r="IE7" vm="954">
        <f ca="1"/>
        <v>2597.25</v>
      </c>
      <c r="IF7" vm="955">
        <f ca="1"/>
        <v>2652.35</v>
      </c>
      <c r="IG7" vm="956">
        <f ca="1"/>
        <v>2650.3</v>
      </c>
      <c r="IH7" vm="957">
        <f ca="1"/>
        <v>2656.55</v>
      </c>
      <c r="II7" vm="871">
        <f ca="1"/>
        <v>2667.55</v>
      </c>
      <c r="IJ7" vm="958">
        <f ca="1"/>
        <v>2697.9</v>
      </c>
      <c r="IK7" vm="959">
        <f ca="1"/>
        <v>2716.7</v>
      </c>
      <c r="IL7" vm="960">
        <f ca="1"/>
        <v>2695.8</v>
      </c>
      <c r="IM7" vm="961">
        <f ca="1"/>
        <v>2691.15</v>
      </c>
      <c r="IN7" vm="962">
        <f ca="1"/>
        <v>2716.2</v>
      </c>
      <c r="IO7" vm="963">
        <f ca="1"/>
        <v>2679.9</v>
      </c>
      <c r="IP7" vm="964">
        <f ca="1"/>
        <v>2636.2</v>
      </c>
      <c r="IQ7" vm="965">
        <f ca="1"/>
        <v>2643.45</v>
      </c>
      <c r="IR7" vm="947">
        <f ca="1"/>
        <v>2675.9</v>
      </c>
      <c r="IS7" vm="966">
        <f ca="1"/>
        <v>2698.75</v>
      </c>
      <c r="IT7" vm="967">
        <f ca="1"/>
        <v>2689.7</v>
      </c>
      <c r="IU7" vm="968">
        <f ca="1"/>
        <v>2715.65</v>
      </c>
      <c r="IV7" vm="969">
        <f ca="1"/>
        <v>2683.25</v>
      </c>
      <c r="IW7" vm="970">
        <f ca="1"/>
        <v>2676.1</v>
      </c>
      <c r="IX7" vm="971">
        <f ca="1"/>
        <v>2676.6</v>
      </c>
      <c r="IY7" vm="972">
        <f ca="1"/>
        <v>2654.35</v>
      </c>
    </row>
    <row r="8" spans="1:259" x14ac:dyDescent="0.3">
      <c r="A8" t="e" vm="973">
        <v>#VALUE!</v>
      </c>
      <c r="B8" t="str">
        <v>Hotels &amp; Entertainment Services</v>
      </c>
      <c r="C8">
        <v>21</v>
      </c>
      <c r="D8" s="8">
        <v>489.95</v>
      </c>
      <c r="E8" s="8">
        <v>10288.949999999999</v>
      </c>
      <c r="F8" s="8">
        <v>495.3</v>
      </c>
      <c r="G8" s="15">
        <f t="shared" si="0"/>
        <v>10401.300000000001</v>
      </c>
      <c r="H8" s="13">
        <f t="shared" si="1"/>
        <v>112.35000000000218</v>
      </c>
      <c r="I8" s="14">
        <v>3.0416126038128002E-2</v>
      </c>
      <c r="L8" cm="1" vm="974">
        <f t="array" aca="1" ref="L8:IY8" ca="1">TRANSPOSE(_xlfn.STOCKHISTORY(A8, TODAY()-365, TODAY(), 0, 0,1))</f>
        <v>527.75</v>
      </c>
      <c r="M8" vm="975">
        <f ca="1"/>
        <v>533.6</v>
      </c>
      <c r="N8" vm="976">
        <f ca="1"/>
        <v>542.65</v>
      </c>
      <c r="O8" vm="977">
        <f ca="1"/>
        <v>535.54999999999995</v>
      </c>
      <c r="P8" vm="978">
        <f ca="1"/>
        <v>513.4</v>
      </c>
      <c r="Q8" vm="979">
        <f ca="1"/>
        <v>512.25</v>
      </c>
      <c r="R8" vm="980">
        <f ca="1"/>
        <v>541.45000000000005</v>
      </c>
      <c r="S8" vm="981">
        <f ca="1"/>
        <v>548.29999999999995</v>
      </c>
      <c r="T8" vm="982">
        <f ca="1"/>
        <v>555.1</v>
      </c>
      <c r="U8" vm="983">
        <f ca="1"/>
        <v>562.95000000000005</v>
      </c>
      <c r="V8" vm="984">
        <f ca="1"/>
        <v>570.79999999999995</v>
      </c>
      <c r="W8" vm="985">
        <f ca="1"/>
        <v>575.20000000000005</v>
      </c>
      <c r="X8" vm="986">
        <f ca="1"/>
        <v>581.95000000000005</v>
      </c>
      <c r="Y8" vm="987">
        <f ca="1"/>
        <v>578.20000000000005</v>
      </c>
      <c r="Z8" vm="988">
        <f ca="1"/>
        <v>581.70000000000005</v>
      </c>
      <c r="AA8" vm="989">
        <f ca="1"/>
        <v>559.65</v>
      </c>
      <c r="AB8" vm="990">
        <f ca="1"/>
        <v>565.29999999999995</v>
      </c>
      <c r="AC8" vm="991">
        <f ca="1"/>
        <v>559.95000000000005</v>
      </c>
      <c r="AD8" vm="992">
        <f ca="1"/>
        <v>558.79999999999995</v>
      </c>
      <c r="AE8" vm="685">
        <f ca="1"/>
        <v>577.35</v>
      </c>
      <c r="AF8" vm="993">
        <f ca="1"/>
        <v>584.04999999999995</v>
      </c>
      <c r="AG8" vm="994">
        <f ca="1"/>
        <v>581.04999999999995</v>
      </c>
      <c r="AH8" vm="995">
        <f ca="1"/>
        <v>573.35</v>
      </c>
      <c r="AI8" vm="996">
        <f ca="1"/>
        <v>552.4</v>
      </c>
      <c r="AJ8" vm="997">
        <f ca="1"/>
        <v>558.65</v>
      </c>
      <c r="AK8" vm="998">
        <f ca="1"/>
        <v>565.45000000000005</v>
      </c>
      <c r="AL8" vm="999">
        <f ca="1"/>
        <v>550.25</v>
      </c>
      <c r="AM8" vm="989">
        <f ca="1"/>
        <v>559.65</v>
      </c>
      <c r="AN8" vm="1000">
        <f ca="1"/>
        <v>565.9</v>
      </c>
      <c r="AO8" vm="1001">
        <f ca="1"/>
        <v>573.20000000000005</v>
      </c>
      <c r="AP8" vm="1002">
        <f ca="1"/>
        <v>569.29999999999995</v>
      </c>
      <c r="AQ8" vm="1003">
        <f ca="1"/>
        <v>575.65</v>
      </c>
      <c r="AR8" vm="1004">
        <f ca="1"/>
        <v>567.54999999999995</v>
      </c>
      <c r="AS8" vm="1005">
        <f ca="1"/>
        <v>568.6</v>
      </c>
      <c r="AT8" vm="1006">
        <f ca="1"/>
        <v>588.15</v>
      </c>
      <c r="AU8" vm="1007">
        <f ca="1"/>
        <v>574.15</v>
      </c>
      <c r="AV8" vm="1008">
        <f ca="1"/>
        <v>584.25</v>
      </c>
      <c r="AW8" vm="1009">
        <f ca="1"/>
        <v>605.85</v>
      </c>
      <c r="AX8" vm="1010">
        <f ca="1"/>
        <v>620.15</v>
      </c>
      <c r="AY8" vm="1011">
        <f ca="1"/>
        <v>596.6</v>
      </c>
      <c r="AZ8" vm="1012">
        <f ca="1"/>
        <v>564.70000000000005</v>
      </c>
      <c r="BA8" vm="1013">
        <f ca="1"/>
        <v>581.25</v>
      </c>
      <c r="BB8" vm="1014">
        <f ca="1"/>
        <v>579.15</v>
      </c>
      <c r="BC8" vm="1015">
        <f ca="1"/>
        <v>585</v>
      </c>
      <c r="BD8" vm="1016">
        <f ca="1"/>
        <v>591</v>
      </c>
      <c r="BE8" vm="1017">
        <f ca="1"/>
        <v>603.20000000000005</v>
      </c>
      <c r="BF8" vm="1018">
        <f ca="1"/>
        <v>616.29999999999995</v>
      </c>
      <c r="BG8" vm="1019">
        <f ca="1"/>
        <v>618.5</v>
      </c>
      <c r="BH8" vm="1020">
        <f ca="1"/>
        <v>606.4</v>
      </c>
      <c r="BI8" vm="1021">
        <f ca="1"/>
        <v>598.9</v>
      </c>
      <c r="BJ8" vm="644">
        <f ca="1"/>
        <v>611.35</v>
      </c>
      <c r="BK8" vm="1022">
        <f ca="1"/>
        <v>612.25</v>
      </c>
      <c r="BL8" vm="1023">
        <f ca="1"/>
        <v>607.4</v>
      </c>
      <c r="BM8" vm="1024">
        <f ca="1"/>
        <v>601</v>
      </c>
      <c r="BN8" vm="1025">
        <f ca="1"/>
        <v>625.15</v>
      </c>
      <c r="BO8" vm="1026">
        <f ca="1"/>
        <v>624.25</v>
      </c>
      <c r="BP8" vm="1027">
        <f ca="1"/>
        <v>635.29999999999995</v>
      </c>
      <c r="BQ8" vm="1028">
        <f ca="1"/>
        <v>634.5</v>
      </c>
      <c r="BR8" vm="1029">
        <f ca="1"/>
        <v>626.54999999999995</v>
      </c>
      <c r="BS8" vm="1030">
        <f ca="1"/>
        <v>614.70000000000005</v>
      </c>
      <c r="BT8" vm="508">
        <f ca="1"/>
        <v>624.29999999999995</v>
      </c>
      <c r="BU8" vm="1031">
        <f ca="1"/>
        <v>623.04999999999995</v>
      </c>
      <c r="BV8" vm="1032">
        <f ca="1"/>
        <v>634.95000000000005</v>
      </c>
      <c r="BW8" vm="1033">
        <f ca="1"/>
        <v>621.04999999999995</v>
      </c>
      <c r="BX8" vm="1034">
        <f ca="1"/>
        <v>602.65</v>
      </c>
      <c r="BY8" vm="655">
        <f ca="1"/>
        <v>607.25</v>
      </c>
      <c r="BZ8" vm="1035">
        <f ca="1"/>
        <v>603.4</v>
      </c>
      <c r="CA8" vm="1036">
        <f ca="1"/>
        <v>603.6</v>
      </c>
      <c r="CB8" vm="1037">
        <f ca="1"/>
        <v>622.70000000000005</v>
      </c>
      <c r="CC8" vm="1038">
        <f ca="1"/>
        <v>614.95000000000005</v>
      </c>
      <c r="CD8" vm="1039">
        <f ca="1"/>
        <v>633.4</v>
      </c>
      <c r="CE8" vm="1040">
        <f ca="1"/>
        <v>639.20000000000005</v>
      </c>
      <c r="CF8" vm="1041">
        <f ca="1"/>
        <v>618.95000000000005</v>
      </c>
      <c r="CG8" vm="1042">
        <f ca="1"/>
        <v>615.75</v>
      </c>
      <c r="CH8" vm="1043">
        <f ca="1"/>
        <v>600.20000000000005</v>
      </c>
      <c r="CI8" vm="1044">
        <f ca="1"/>
        <v>604.1</v>
      </c>
      <c r="CJ8" vm="1045">
        <f ca="1"/>
        <v>604.6</v>
      </c>
      <c r="CK8" vm="1046">
        <f ca="1"/>
        <v>597.6</v>
      </c>
      <c r="CL8" vm="1047">
        <f ca="1"/>
        <v>596.29999999999995</v>
      </c>
      <c r="CM8" vm="1048">
        <f ca="1"/>
        <v>601.4</v>
      </c>
      <c r="CN8" vm="664">
        <f ca="1"/>
        <v>605.1</v>
      </c>
      <c r="CO8" vm="1049">
        <f ca="1"/>
        <v>591.75</v>
      </c>
      <c r="CP8" vm="1050">
        <f ca="1"/>
        <v>590.70000000000005</v>
      </c>
      <c r="CQ8" vm="1047">
        <f ca="1"/>
        <v>596.29999999999995</v>
      </c>
      <c r="CR8" vm="1051">
        <f ca="1"/>
        <v>591.35</v>
      </c>
      <c r="CS8" vm="1052">
        <f ca="1"/>
        <v>592.85</v>
      </c>
      <c r="CT8" vm="1053">
        <f ca="1"/>
        <v>594.20000000000005</v>
      </c>
      <c r="CU8" vm="1054">
        <f ca="1"/>
        <v>609.95000000000005</v>
      </c>
      <c r="CV8" vm="1055">
        <f ca="1"/>
        <v>620</v>
      </c>
      <c r="CW8" vm="1056">
        <f ca="1"/>
        <v>615.95000000000005</v>
      </c>
      <c r="CX8" vm="1057">
        <f ca="1"/>
        <v>608.4</v>
      </c>
      <c r="CY8" vm="1058">
        <f ca="1"/>
        <v>606.35</v>
      </c>
      <c r="CZ8" vm="1059">
        <f ca="1"/>
        <v>612.70000000000005</v>
      </c>
      <c r="DA8" vm="1060">
        <f ca="1"/>
        <v>566.45000000000005</v>
      </c>
      <c r="DB8" vm="1061">
        <f ca="1"/>
        <v>554.29999999999995</v>
      </c>
      <c r="DC8" vm="1062">
        <f ca="1"/>
        <v>563.04999999999995</v>
      </c>
      <c r="DD8" vm="1063">
        <f ca="1"/>
        <v>562.1</v>
      </c>
      <c r="DE8" vm="1064">
        <f ca="1"/>
        <v>561</v>
      </c>
      <c r="DF8" vm="982">
        <f ca="1"/>
        <v>555.1</v>
      </c>
      <c r="DG8" vm="1065">
        <f ca="1"/>
        <v>552.45000000000005</v>
      </c>
      <c r="DH8" vm="1066">
        <f ca="1"/>
        <v>551.04999999999995</v>
      </c>
      <c r="DI8" vm="1067">
        <f ca="1"/>
        <v>536.65</v>
      </c>
      <c r="DJ8" vm="1068">
        <f ca="1"/>
        <v>544.79999999999995</v>
      </c>
      <c r="DK8" vm="1069">
        <f ca="1"/>
        <v>540.54999999999995</v>
      </c>
      <c r="DL8" vm="1070">
        <f ca="1"/>
        <v>549.9</v>
      </c>
      <c r="DM8" vm="1071">
        <f ca="1"/>
        <v>556.25</v>
      </c>
      <c r="DN8" vm="1072">
        <f ca="1"/>
        <v>553.04999999999995</v>
      </c>
      <c r="DO8" vm="1073">
        <f ca="1"/>
        <v>546.04999999999995</v>
      </c>
      <c r="DP8" vm="1074">
        <f ca="1"/>
        <v>546.85</v>
      </c>
      <c r="DQ8" vm="1075">
        <f ca="1"/>
        <v>547.15</v>
      </c>
      <c r="DR8" vm="1076">
        <f ca="1"/>
        <v>547.65</v>
      </c>
      <c r="DS8" vm="1077">
        <f ca="1"/>
        <v>553.85</v>
      </c>
      <c r="DT8" vm="1078">
        <f ca="1"/>
        <v>555.29999999999995</v>
      </c>
      <c r="DU8" vm="1079">
        <f ca="1"/>
        <v>538.70000000000005</v>
      </c>
      <c r="DV8" vm="1080">
        <f ca="1"/>
        <v>536.85</v>
      </c>
      <c r="DW8" vm="1081">
        <f ca="1"/>
        <v>535.65</v>
      </c>
      <c r="DX8" vm="1082">
        <f ca="1"/>
        <v>528</v>
      </c>
      <c r="DY8" vm="1083">
        <f ca="1"/>
        <v>521.4</v>
      </c>
      <c r="DZ8" vm="1084">
        <f ca="1"/>
        <v>533.4</v>
      </c>
      <c r="EA8" vm="1085">
        <f ca="1"/>
        <v>523.85</v>
      </c>
      <c r="EB8" vm="1086">
        <f ca="1"/>
        <v>520.20000000000005</v>
      </c>
      <c r="EC8" vm="1087">
        <f ca="1"/>
        <v>519.29999999999995</v>
      </c>
      <c r="ED8" vm="1088">
        <f ca="1"/>
        <v>520.6</v>
      </c>
      <c r="EE8" vm="1089">
        <f ca="1"/>
        <v>521.20000000000005</v>
      </c>
      <c r="EF8" vm="1090">
        <f ca="1"/>
        <v>533.79999999999995</v>
      </c>
      <c r="EG8" vm="1091">
        <f ca="1"/>
        <v>511.25</v>
      </c>
      <c r="EH8" vm="1092">
        <f ca="1"/>
        <v>521.29999999999995</v>
      </c>
      <c r="EI8" vm="1093">
        <f ca="1"/>
        <v>519.65</v>
      </c>
      <c r="EJ8" vm="1094">
        <f ca="1"/>
        <v>514.5</v>
      </c>
      <c r="EK8" vm="1095">
        <f ca="1"/>
        <v>510.1</v>
      </c>
      <c r="EL8" vm="1096">
        <f ca="1"/>
        <v>511.05</v>
      </c>
      <c r="EM8" vm="1097">
        <f ca="1"/>
        <v>505.05</v>
      </c>
      <c r="EN8" vm="1098">
        <f ca="1"/>
        <v>507.35</v>
      </c>
      <c r="EO8" vm="1099">
        <f ca="1"/>
        <v>499.3</v>
      </c>
      <c r="EP8" vm="1100">
        <f ca="1"/>
        <v>503.8</v>
      </c>
      <c r="EQ8" vm="1101">
        <f ca="1"/>
        <v>498</v>
      </c>
      <c r="ER8" vm="1102">
        <f ca="1"/>
        <v>499.5</v>
      </c>
      <c r="ES8" vm="1103">
        <f ca="1"/>
        <v>492.1</v>
      </c>
      <c r="ET8" vm="1104">
        <f ca="1"/>
        <v>491.2</v>
      </c>
      <c r="EU8" vm="1105">
        <f ca="1"/>
        <v>488.55</v>
      </c>
      <c r="EV8" vm="1106">
        <f ca="1"/>
        <v>497.65</v>
      </c>
      <c r="EW8" vm="1107">
        <f ca="1"/>
        <v>497.35</v>
      </c>
      <c r="EX8" vm="1108">
        <f ca="1"/>
        <v>495.75</v>
      </c>
      <c r="EY8" vm="1100">
        <f ca="1"/>
        <v>503.8</v>
      </c>
      <c r="EZ8" vm="1109">
        <f ca="1"/>
        <v>510.5</v>
      </c>
      <c r="FA8" vm="1110">
        <f ca="1"/>
        <v>510</v>
      </c>
      <c r="FB8" vm="1111">
        <f ca="1"/>
        <v>509.15</v>
      </c>
      <c r="FC8" vm="1112">
        <f ca="1"/>
        <v>503.2</v>
      </c>
      <c r="FD8" vm="1113">
        <f ca="1"/>
        <v>493.85</v>
      </c>
      <c r="FE8" vm="1114">
        <f ca="1"/>
        <v>484.3</v>
      </c>
      <c r="FF8" vm="1115">
        <f ca="1"/>
        <v>485.3</v>
      </c>
      <c r="FG8" vm="1116">
        <f ca="1"/>
        <v>486.85</v>
      </c>
      <c r="FH8" vm="1117">
        <f ca="1"/>
        <v>456.45</v>
      </c>
      <c r="FI8" vm="1118">
        <f ca="1"/>
        <v>435.6</v>
      </c>
      <c r="FJ8" vm="1119">
        <f ca="1"/>
        <v>430</v>
      </c>
      <c r="FK8" vm="1120">
        <f ca="1"/>
        <v>444.5</v>
      </c>
      <c r="FL8" vm="1121">
        <f ca="1"/>
        <v>437.1</v>
      </c>
      <c r="FM8" vm="1122">
        <f ca="1"/>
        <v>443.35</v>
      </c>
      <c r="FN8" vm="1123">
        <f ca="1"/>
        <v>457.9</v>
      </c>
      <c r="FO8" vm="1124">
        <f ca="1"/>
        <v>460.35</v>
      </c>
      <c r="FP8" vm="1125">
        <f ca="1"/>
        <v>458.55</v>
      </c>
      <c r="FQ8" vm="1126">
        <f ca="1"/>
        <v>451</v>
      </c>
      <c r="FR8" vm="1127">
        <f ca="1"/>
        <v>454.25</v>
      </c>
      <c r="FS8" vm="1128">
        <f ca="1"/>
        <v>466.4</v>
      </c>
      <c r="FT8" vm="1129">
        <f ca="1"/>
        <v>456.95</v>
      </c>
      <c r="FU8" vm="1130">
        <f ca="1"/>
        <v>458.75</v>
      </c>
      <c r="FV8" vm="1131">
        <f ca="1"/>
        <v>460.5</v>
      </c>
      <c r="FW8" vm="1132">
        <f ca="1"/>
        <v>453.3</v>
      </c>
      <c r="FX8" vm="1133">
        <f ca="1"/>
        <v>442.75</v>
      </c>
      <c r="FY8" vm="1134">
        <f ca="1"/>
        <v>442.15</v>
      </c>
      <c r="FZ8" vm="1135">
        <f ca="1"/>
        <v>434.35</v>
      </c>
      <c r="GA8" vm="1136">
        <f ca="1"/>
        <v>440.85</v>
      </c>
      <c r="GB8" vm="1137">
        <f ca="1"/>
        <v>442.9</v>
      </c>
      <c r="GC8" vm="1138">
        <f ca="1"/>
        <v>441.3</v>
      </c>
      <c r="GD8" vm="1139">
        <f ca="1"/>
        <v>441.35</v>
      </c>
      <c r="GE8" vm="1140">
        <f ca="1"/>
        <v>447.1</v>
      </c>
      <c r="GF8" vm="1141">
        <f ca="1"/>
        <v>457.35</v>
      </c>
      <c r="GG8" vm="1142">
        <f ca="1"/>
        <v>460.6</v>
      </c>
      <c r="GH8" vm="1143">
        <f ca="1"/>
        <v>453.6</v>
      </c>
      <c r="GI8" vm="1144">
        <f ca="1"/>
        <v>442.85</v>
      </c>
      <c r="GJ8" vm="1145">
        <f ca="1"/>
        <v>437.4</v>
      </c>
      <c r="GK8" vm="1146">
        <f ca="1"/>
        <v>427.35</v>
      </c>
      <c r="GL8" vm="1147">
        <f ca="1"/>
        <v>425.35</v>
      </c>
      <c r="GM8" vm="1148">
        <f ca="1"/>
        <v>426.7</v>
      </c>
      <c r="GN8" vm="1149">
        <f ca="1"/>
        <v>435.05</v>
      </c>
      <c r="GO8" vm="1150">
        <f ca="1"/>
        <v>445.2</v>
      </c>
      <c r="GP8" vm="1151">
        <f ca="1"/>
        <v>449.4</v>
      </c>
      <c r="GQ8" vm="1152">
        <f ca="1"/>
        <v>448.15</v>
      </c>
      <c r="GR8" vm="1153">
        <f ca="1"/>
        <v>440.95</v>
      </c>
      <c r="GS8" vm="1154">
        <f ca="1"/>
        <v>439.9</v>
      </c>
      <c r="GT8" vm="1155">
        <f ca="1"/>
        <v>431</v>
      </c>
      <c r="GU8" vm="1156">
        <f ca="1"/>
        <v>430.05</v>
      </c>
      <c r="GV8" vm="1157">
        <f ca="1"/>
        <v>440.1</v>
      </c>
      <c r="GW8" vm="1158">
        <f ca="1"/>
        <v>435.7</v>
      </c>
      <c r="GX8" vm="1159">
        <f ca="1"/>
        <v>435.3</v>
      </c>
      <c r="GY8" vm="1160">
        <f ca="1"/>
        <v>433</v>
      </c>
      <c r="GZ8" vm="1161">
        <f ca="1"/>
        <v>425.5</v>
      </c>
      <c r="HA8" vm="1162">
        <f ca="1"/>
        <v>422.1</v>
      </c>
      <c r="HB8" vm="1163">
        <f ca="1"/>
        <v>430.75</v>
      </c>
      <c r="HC8" vm="1164">
        <f ca="1"/>
        <v>435.15</v>
      </c>
      <c r="HD8" vm="1155">
        <f ca="1"/>
        <v>431</v>
      </c>
      <c r="HE8" vm="1165">
        <f ca="1"/>
        <v>440.65</v>
      </c>
      <c r="HF8" vm="1166">
        <f ca="1"/>
        <v>437.75</v>
      </c>
      <c r="HG8" vm="1167">
        <f ca="1"/>
        <v>438.2</v>
      </c>
      <c r="HH8" vm="1168">
        <f ca="1"/>
        <v>442.55</v>
      </c>
      <c r="HI8" vm="1169">
        <f ca="1"/>
        <v>449.75</v>
      </c>
      <c r="HJ8" vm="1170">
        <f ca="1"/>
        <v>450.1</v>
      </c>
      <c r="HK8" vm="1171">
        <f ca="1"/>
        <v>444.25</v>
      </c>
      <c r="HL8" vm="1172">
        <f ca="1"/>
        <v>444.9</v>
      </c>
      <c r="HM8" vm="1173">
        <f ca="1"/>
        <v>446.45</v>
      </c>
      <c r="HN8" vm="1174">
        <f ca="1"/>
        <v>461.6</v>
      </c>
      <c r="HO8" vm="1175">
        <f ca="1"/>
        <v>458</v>
      </c>
      <c r="HP8" vm="1176">
        <f ca="1"/>
        <v>471.9</v>
      </c>
      <c r="HQ8" vm="1177">
        <f ca="1"/>
        <v>465.15</v>
      </c>
      <c r="HR8" vm="1178">
        <f ca="1"/>
        <v>466</v>
      </c>
      <c r="HS8" vm="1179">
        <f ca="1"/>
        <v>463.6</v>
      </c>
      <c r="HT8" vm="1180">
        <f ca="1"/>
        <v>469.15</v>
      </c>
      <c r="HU8" vm="1181">
        <f ca="1"/>
        <v>470.5</v>
      </c>
      <c r="HV8" vm="1182">
        <f ca="1"/>
        <v>467.35</v>
      </c>
      <c r="HW8" vm="1183">
        <f ca="1"/>
        <v>469.05</v>
      </c>
      <c r="HX8" vm="1184">
        <f ca="1"/>
        <v>466.7</v>
      </c>
      <c r="HY8" vm="1185">
        <f ca="1"/>
        <v>481.1</v>
      </c>
      <c r="HZ8" vm="1186">
        <f ca="1"/>
        <v>474.7</v>
      </c>
      <c r="IA8" vm="1187">
        <f ca="1"/>
        <v>468.7</v>
      </c>
      <c r="IB8" vm="1188">
        <f ca="1"/>
        <v>469.6</v>
      </c>
      <c r="IC8" vm="1189">
        <f ca="1"/>
        <v>474</v>
      </c>
      <c r="ID8" vm="1190">
        <f ca="1"/>
        <v>473.8</v>
      </c>
      <c r="IE8" vm="1191">
        <f ca="1"/>
        <v>489.15</v>
      </c>
      <c r="IF8" vm="1192">
        <f ca="1"/>
        <v>483.65</v>
      </c>
      <c r="IG8" vm="1193">
        <f ca="1"/>
        <v>482.4</v>
      </c>
      <c r="IH8" vm="1194">
        <f ca="1"/>
        <v>487.95</v>
      </c>
      <c r="II8" vm="1195">
        <f ca="1"/>
        <v>483.3</v>
      </c>
      <c r="IJ8" vm="1196">
        <f ca="1"/>
        <v>491.5</v>
      </c>
      <c r="IK8" vm="1197">
        <f ca="1"/>
        <v>492.05</v>
      </c>
      <c r="IL8" vm="1198">
        <f ca="1"/>
        <v>494</v>
      </c>
      <c r="IM8" vm="1199">
        <f ca="1"/>
        <v>490.75</v>
      </c>
      <c r="IN8" vm="1200">
        <f ca="1"/>
        <v>493.05</v>
      </c>
      <c r="IO8" vm="1201">
        <f ca="1"/>
        <v>486.05</v>
      </c>
      <c r="IP8" vm="1202">
        <f ca="1"/>
        <v>479.55</v>
      </c>
      <c r="IQ8" vm="1203">
        <f ca="1"/>
        <v>483.15</v>
      </c>
      <c r="IR8" vm="1204">
        <f ca="1"/>
        <v>485</v>
      </c>
      <c r="IS8" vm="1205">
        <f ca="1"/>
        <v>494.3</v>
      </c>
      <c r="IT8" vm="1206">
        <f ca="1"/>
        <v>497</v>
      </c>
      <c r="IU8" vm="1207">
        <f ca="1"/>
        <v>498.15</v>
      </c>
      <c r="IV8" vm="1208">
        <f ca="1"/>
        <v>494.4</v>
      </c>
      <c r="IW8" vm="1206">
        <f ca="1"/>
        <v>497</v>
      </c>
      <c r="IX8" vm="1209">
        <f ca="1"/>
        <v>495.15</v>
      </c>
      <c r="IY8" vm="1210">
        <f ca="1"/>
        <v>495.3</v>
      </c>
    </row>
    <row r="9" spans="1:259" x14ac:dyDescent="0.3">
      <c r="A9" t="e" vm="1211">
        <v>#VALUE!</v>
      </c>
      <c r="B9" t="str">
        <v>Chemicals</v>
      </c>
      <c r="C9">
        <v>19</v>
      </c>
      <c r="D9" s="8">
        <v>2644.1</v>
      </c>
      <c r="E9" s="8">
        <v>50237.9</v>
      </c>
      <c r="F9" s="8">
        <v>2636.3</v>
      </c>
      <c r="G9" s="15">
        <f t="shared" si="0"/>
        <v>50089.700000000004</v>
      </c>
      <c r="H9" s="13">
        <f t="shared" si="1"/>
        <v>-148.19999999999709</v>
      </c>
      <c r="I9" s="14">
        <v>6.2293607017808684E-3</v>
      </c>
      <c r="L9" cm="1" vm="1212">
        <f t="array" aca="1" ref="L9:IY9" ca="1">TRANSPOSE(_xlfn.STOCKHISTORY(A9, TODAY()-365, TODAY(), 0, 0,1))</f>
        <v>2145.5500000000002</v>
      </c>
      <c r="M9" vm="1213">
        <f ca="1"/>
        <v>2169.25</v>
      </c>
      <c r="N9" vm="1214">
        <f ca="1"/>
        <v>2143.15</v>
      </c>
      <c r="O9" vm="1215">
        <f ca="1"/>
        <v>2116.1999999999998</v>
      </c>
      <c r="P9" vm="1216">
        <f ca="1"/>
        <v>2098.15</v>
      </c>
      <c r="Q9" vm="1217">
        <f ca="1"/>
        <v>2089.9</v>
      </c>
      <c r="R9" vm="1218">
        <f ca="1"/>
        <v>2158.35</v>
      </c>
      <c r="S9" vm="1219">
        <f ca="1"/>
        <v>2192.4499999999998</v>
      </c>
      <c r="T9" vm="1220">
        <f ca="1"/>
        <v>2177.0500000000002</v>
      </c>
      <c r="U9" vm="1221">
        <f ca="1"/>
        <v>2219.5500000000002</v>
      </c>
      <c r="V9" vm="1222">
        <f ca="1"/>
        <v>2237.0500000000002</v>
      </c>
      <c r="W9" vm="1223">
        <f ca="1"/>
        <v>2250.85</v>
      </c>
      <c r="X9" vm="1224">
        <f ca="1"/>
        <v>2268.5500000000002</v>
      </c>
      <c r="Y9" vm="1225">
        <f ca="1"/>
        <v>2250.75</v>
      </c>
      <c r="Z9" vm="1226">
        <f ca="1"/>
        <v>2285.4499999999998</v>
      </c>
      <c r="AA9" vm="1227">
        <f ca="1"/>
        <v>2289.8000000000002</v>
      </c>
      <c r="AB9" vm="1228">
        <f ca="1"/>
        <v>2307.65</v>
      </c>
      <c r="AC9" vm="1229">
        <f ca="1"/>
        <v>2302.1</v>
      </c>
      <c r="AD9" vm="1230">
        <f ca="1"/>
        <v>2291.4499999999998</v>
      </c>
      <c r="AE9" vm="1231">
        <f ca="1"/>
        <v>2320.85</v>
      </c>
      <c r="AF9" vm="1232">
        <f ca="1"/>
        <v>2362.15</v>
      </c>
      <c r="AG9" vm="1233">
        <f ca="1"/>
        <v>2357.75</v>
      </c>
      <c r="AH9" vm="1234">
        <f ca="1"/>
        <v>2333.3000000000002</v>
      </c>
      <c r="AI9" vm="1235">
        <f ca="1"/>
        <v>2320.5</v>
      </c>
      <c r="AJ9" vm="1236">
        <f ca="1"/>
        <v>2354.4</v>
      </c>
      <c r="AK9" vm="1237">
        <f ca="1"/>
        <v>2399.8000000000002</v>
      </c>
      <c r="AL9" vm="1238">
        <f ca="1"/>
        <v>2451.25</v>
      </c>
      <c r="AM9" vm="1239">
        <f ca="1"/>
        <v>2496.15</v>
      </c>
      <c r="AN9" vm="1240">
        <f ca="1"/>
        <v>2520.4499999999998</v>
      </c>
      <c r="AO9" vm="1241">
        <f ca="1"/>
        <v>2523.25</v>
      </c>
      <c r="AP9" vm="1242">
        <f ca="1"/>
        <v>2554.1</v>
      </c>
      <c r="AQ9" vm="1243">
        <f ca="1"/>
        <v>2640.85</v>
      </c>
      <c r="AR9" vm="1244">
        <f ca="1"/>
        <v>2649.35</v>
      </c>
      <c r="AS9" vm="1245">
        <f ca="1"/>
        <v>2636.8</v>
      </c>
      <c r="AT9" vm="1246">
        <f ca="1"/>
        <v>2640.65</v>
      </c>
      <c r="AU9" vm="803">
        <f ca="1"/>
        <v>2622.5</v>
      </c>
      <c r="AV9" vm="1247">
        <f ca="1"/>
        <v>2665.75</v>
      </c>
      <c r="AW9" vm="1248">
        <f ca="1"/>
        <v>2716.3</v>
      </c>
      <c r="AX9" vm="1249">
        <f ca="1"/>
        <v>2723.25</v>
      </c>
      <c r="AY9" vm="1250">
        <f ca="1"/>
        <v>2720.8</v>
      </c>
      <c r="AZ9" vm="1251">
        <f ca="1"/>
        <v>2680.15</v>
      </c>
      <c r="BA9" vm="1252">
        <f ca="1"/>
        <v>2677.85</v>
      </c>
      <c r="BB9" vm="1253">
        <f ca="1"/>
        <v>2670.75</v>
      </c>
      <c r="BC9" vm="849">
        <f ca="1"/>
        <v>2663.25</v>
      </c>
      <c r="BD9" vm="1254">
        <f ca="1"/>
        <v>2666.9</v>
      </c>
      <c r="BE9" vm="1255">
        <f ca="1"/>
        <v>2700.35</v>
      </c>
      <c r="BF9" vm="1256">
        <f ca="1"/>
        <v>2736.3</v>
      </c>
      <c r="BG9" vm="1257">
        <f ca="1"/>
        <v>2820.3</v>
      </c>
      <c r="BH9" vm="1258">
        <f ca="1"/>
        <v>2866.7</v>
      </c>
      <c r="BI9" vm="1259">
        <f ca="1"/>
        <v>2832.75</v>
      </c>
      <c r="BJ9" vm="1260">
        <f ca="1"/>
        <v>2815.8</v>
      </c>
      <c r="BK9" vm="1261">
        <f ca="1"/>
        <v>2803.85</v>
      </c>
      <c r="BL9" vm="1262">
        <f ca="1"/>
        <v>2869.65</v>
      </c>
      <c r="BM9" vm="1263">
        <f ca="1"/>
        <v>2844.15</v>
      </c>
      <c r="BN9" vm="1264">
        <f ca="1"/>
        <v>2857.6</v>
      </c>
      <c r="BO9" vm="1265">
        <f ca="1"/>
        <v>2857.45</v>
      </c>
      <c r="BP9" vm="1266">
        <f ca="1"/>
        <v>2869.15</v>
      </c>
      <c r="BQ9" vm="1267">
        <f ca="1"/>
        <v>2901.85</v>
      </c>
      <c r="BR9" vm="1268">
        <f ca="1"/>
        <v>2799.05</v>
      </c>
      <c r="BS9" vm="1269">
        <f ca="1"/>
        <v>2806.8</v>
      </c>
      <c r="BT9" vm="1270">
        <f ca="1"/>
        <v>2833.9</v>
      </c>
      <c r="BU9" vm="1271">
        <f ca="1"/>
        <v>2818.75</v>
      </c>
      <c r="BV9" vm="1272">
        <f ca="1"/>
        <v>2809.95</v>
      </c>
      <c r="BW9" vm="1273">
        <f ca="1"/>
        <v>2800.65</v>
      </c>
      <c r="BX9" vm="1274">
        <f ca="1"/>
        <v>2802.2</v>
      </c>
      <c r="BY9" vm="1275">
        <f ca="1"/>
        <v>2804.3</v>
      </c>
      <c r="BZ9" vm="1276">
        <f ca="1"/>
        <v>2769.75</v>
      </c>
      <c r="CA9" vm="1277">
        <f ca="1"/>
        <v>2704.2</v>
      </c>
      <c r="CB9" vm="1278">
        <f ca="1"/>
        <v>2690.3</v>
      </c>
      <c r="CC9" vm="1279">
        <f ca="1"/>
        <v>2656.25</v>
      </c>
      <c r="CD9" vm="1280">
        <f ca="1"/>
        <v>2686.65</v>
      </c>
      <c r="CE9" vm="1281">
        <f ca="1"/>
        <v>2661.95</v>
      </c>
      <c r="CF9" vm="1282">
        <f ca="1"/>
        <v>2662.6</v>
      </c>
      <c r="CG9" vm="1283">
        <f ca="1"/>
        <v>2645.45</v>
      </c>
      <c r="CH9" vm="1284">
        <f ca="1"/>
        <v>2612</v>
      </c>
      <c r="CI9" vm="1285">
        <f ca="1"/>
        <v>2655.15</v>
      </c>
      <c r="CJ9" vm="1286">
        <f ca="1"/>
        <v>2621.6</v>
      </c>
      <c r="CK9" vm="1287">
        <f ca="1"/>
        <v>2619.75</v>
      </c>
      <c r="CL9" vm="1288">
        <f ca="1"/>
        <v>2691.4</v>
      </c>
      <c r="CM9" vm="1289">
        <f ca="1"/>
        <v>2712.65</v>
      </c>
      <c r="CN9" vm="1290">
        <f ca="1"/>
        <v>2664.95</v>
      </c>
      <c r="CO9" vm="1291">
        <f ca="1"/>
        <v>2689.75</v>
      </c>
      <c r="CP9" vm="1292">
        <f ca="1"/>
        <v>2637.7</v>
      </c>
      <c r="CQ9" vm="1293">
        <f ca="1"/>
        <v>2643.5</v>
      </c>
      <c r="CR9" vm="1294">
        <f ca="1"/>
        <v>2618.3000000000002</v>
      </c>
      <c r="CS9" vm="1295">
        <f ca="1"/>
        <v>2564.4</v>
      </c>
      <c r="CT9" vm="1296">
        <f ca="1"/>
        <v>2560.5500000000002</v>
      </c>
      <c r="CU9" vm="1297">
        <f ca="1"/>
        <v>2584.4</v>
      </c>
      <c r="CV9" vm="1298">
        <f ca="1"/>
        <v>2643.75</v>
      </c>
      <c r="CW9" vm="1299">
        <f ca="1"/>
        <v>2634.45</v>
      </c>
      <c r="CX9" vm="1300">
        <f ca="1"/>
        <v>2643.55</v>
      </c>
      <c r="CY9" vm="1301">
        <f ca="1"/>
        <v>2648</v>
      </c>
      <c r="CZ9" vm="1302">
        <f ca="1"/>
        <v>2628.65</v>
      </c>
      <c r="DA9" vm="1303">
        <f ca="1"/>
        <v>2652.25</v>
      </c>
      <c r="DB9" vm="1304">
        <f ca="1"/>
        <v>2656.35</v>
      </c>
      <c r="DC9" vm="1305">
        <f ca="1"/>
        <v>2661.2</v>
      </c>
      <c r="DD9" vm="844">
        <f ca="1"/>
        <v>2654.55</v>
      </c>
      <c r="DE9" vm="1306">
        <f ca="1"/>
        <v>2675</v>
      </c>
      <c r="DF9" vm="1307">
        <f ca="1"/>
        <v>2682.45</v>
      </c>
      <c r="DG9" vm="1308">
        <f ca="1"/>
        <v>2693.2</v>
      </c>
      <c r="DH9" vm="1309">
        <f ca="1"/>
        <v>2699.25</v>
      </c>
      <c r="DI9" vm="1310">
        <f ca="1"/>
        <v>2662</v>
      </c>
      <c r="DJ9" vm="1311">
        <f ca="1"/>
        <v>2696.95</v>
      </c>
      <c r="DK9" vm="802">
        <f ca="1"/>
        <v>2696.45</v>
      </c>
      <c r="DL9" vm="1312">
        <f ca="1"/>
        <v>2703.9</v>
      </c>
      <c r="DM9" vm="1313">
        <f ca="1"/>
        <v>2662.1</v>
      </c>
      <c r="DN9" vm="1314">
        <f ca="1"/>
        <v>2692.35</v>
      </c>
      <c r="DO9" vm="1315">
        <f ca="1"/>
        <v>2727.95</v>
      </c>
      <c r="DP9" vm="1316">
        <f ca="1"/>
        <v>2748.7</v>
      </c>
      <c r="DQ9" vm="1317">
        <f ca="1"/>
        <v>2733.55</v>
      </c>
      <c r="DR9" vm="1318">
        <f ca="1"/>
        <v>2736.2</v>
      </c>
      <c r="DS9" vm="1319">
        <f ca="1"/>
        <v>2733.8</v>
      </c>
      <c r="DT9" vm="1320">
        <f ca="1"/>
        <v>2757.2</v>
      </c>
      <c r="DU9" vm="1321">
        <f ca="1"/>
        <v>2772.4</v>
      </c>
      <c r="DV9" vm="1322">
        <f ca="1"/>
        <v>2761.75</v>
      </c>
      <c r="DW9" vm="1323">
        <f ca="1"/>
        <v>2739.65</v>
      </c>
      <c r="DX9" vm="1324">
        <f ca="1"/>
        <v>2688.15</v>
      </c>
      <c r="DY9" vm="1325">
        <f ca="1"/>
        <v>2648.8</v>
      </c>
      <c r="DZ9" vm="1326">
        <f ca="1"/>
        <v>2636.3</v>
      </c>
      <c r="EA9" vm="1327">
        <f ca="1"/>
        <v>2616.5500000000002</v>
      </c>
      <c r="EB9" vm="1328">
        <f ca="1"/>
        <v>2592.9</v>
      </c>
      <c r="EC9" vm="1329">
        <f ca="1"/>
        <v>2599.85</v>
      </c>
      <c r="ED9" vm="1330">
        <f ca="1"/>
        <v>2576.6999999999998</v>
      </c>
      <c r="EE9" vm="1331">
        <f ca="1"/>
        <v>2565.75</v>
      </c>
      <c r="EF9" vm="1332">
        <f ca="1"/>
        <v>2551.75</v>
      </c>
      <c r="EG9" vm="1333">
        <f ca="1"/>
        <v>2490.25</v>
      </c>
      <c r="EH9" vm="1334">
        <f ca="1"/>
        <v>2513.5500000000002</v>
      </c>
      <c r="EI9" vm="1335">
        <f ca="1"/>
        <v>2537.15</v>
      </c>
      <c r="EJ9" vm="1336">
        <f ca="1"/>
        <v>2587.9</v>
      </c>
      <c r="EK9" vm="1337">
        <f ca="1"/>
        <v>2601.6999999999998</v>
      </c>
      <c r="EL9" vm="1338">
        <f ca="1"/>
        <v>2550.15</v>
      </c>
      <c r="EM9" vm="1339">
        <f ca="1"/>
        <v>2530</v>
      </c>
      <c r="EN9" vm="1340">
        <f ca="1"/>
        <v>2537</v>
      </c>
      <c r="EO9" vm="1341">
        <f ca="1"/>
        <v>2510.9499999999998</v>
      </c>
      <c r="EP9" vm="1342">
        <f ca="1"/>
        <v>2518.1</v>
      </c>
      <c r="EQ9" vm="1343">
        <f ca="1"/>
        <v>2522.3000000000002</v>
      </c>
      <c r="ER9" vm="1344">
        <f ca="1"/>
        <v>2552.35</v>
      </c>
      <c r="ES9" vm="1345">
        <f ca="1"/>
        <v>2529.1999999999998</v>
      </c>
      <c r="ET9" vm="1346">
        <f ca="1"/>
        <v>2479.5</v>
      </c>
      <c r="EU9" vm="1347">
        <f ca="1"/>
        <v>2495.5</v>
      </c>
      <c r="EV9" vm="1348">
        <f ca="1"/>
        <v>2505.15</v>
      </c>
      <c r="EW9" vm="1349">
        <f ca="1"/>
        <v>2449.8000000000002</v>
      </c>
      <c r="EX9" vm="1350">
        <f ca="1"/>
        <v>2437.4499999999998</v>
      </c>
      <c r="EY9" vm="1351">
        <f ca="1"/>
        <v>2488.65</v>
      </c>
      <c r="EZ9" vm="1352">
        <f ca="1"/>
        <v>2453.1999999999998</v>
      </c>
      <c r="FA9" vm="1353">
        <f ca="1"/>
        <v>2402.6</v>
      </c>
      <c r="FB9" vm="1354">
        <f ca="1"/>
        <v>2409.6</v>
      </c>
      <c r="FC9" vm="1355">
        <f ca="1"/>
        <v>2382.35</v>
      </c>
      <c r="FD9" vm="1356">
        <f ca="1"/>
        <v>2315.3000000000002</v>
      </c>
      <c r="FE9" vm="1357">
        <f ca="1"/>
        <v>2290.65</v>
      </c>
      <c r="FF9" vm="1358">
        <f ca="1"/>
        <v>2283.4</v>
      </c>
      <c r="FG9" vm="1359">
        <f ca="1"/>
        <v>2279.5500000000002</v>
      </c>
      <c r="FH9" vm="1356">
        <f ca="1"/>
        <v>2315.3000000000002</v>
      </c>
      <c r="FI9" vm="1230">
        <f ca="1"/>
        <v>2291.4499999999998</v>
      </c>
      <c r="FJ9" vm="1360">
        <f ca="1"/>
        <v>2341.5500000000002</v>
      </c>
      <c r="FK9" vm="1234">
        <f ca="1"/>
        <v>2333.3000000000002</v>
      </c>
      <c r="FL9" vm="1361">
        <f ca="1"/>
        <v>2315.1999999999998</v>
      </c>
      <c r="FM9" vm="1362">
        <f ca="1"/>
        <v>2333.75</v>
      </c>
      <c r="FN9" vm="1363">
        <f ca="1"/>
        <v>2327.65</v>
      </c>
      <c r="FO9" vm="1364">
        <f ca="1"/>
        <v>2316.15</v>
      </c>
      <c r="FP9" vm="1365">
        <f ca="1"/>
        <v>2301.9499999999998</v>
      </c>
      <c r="FQ9" vm="1366">
        <f ca="1"/>
        <v>2296.1</v>
      </c>
      <c r="FR9" vm="1367">
        <f ca="1"/>
        <v>2311.3000000000002</v>
      </c>
      <c r="FS9" vm="1368">
        <f ca="1"/>
        <v>2316.75</v>
      </c>
      <c r="FT9" vm="1369">
        <f ca="1"/>
        <v>2333.1</v>
      </c>
      <c r="FU9" vm="1370">
        <f ca="1"/>
        <v>2320.0500000000002</v>
      </c>
      <c r="FV9" vm="1371">
        <f ca="1"/>
        <v>2331.85</v>
      </c>
      <c r="FW9" vm="1372">
        <f ca="1"/>
        <v>2294.65</v>
      </c>
      <c r="FX9" vm="1373">
        <f ca="1"/>
        <v>2268.15</v>
      </c>
      <c r="FY9" vm="1374">
        <f ca="1"/>
        <v>2275.6999999999998</v>
      </c>
      <c r="FZ9" vm="1375">
        <f ca="1"/>
        <v>2279.65</v>
      </c>
      <c r="GA9" vm="1376">
        <f ca="1"/>
        <v>2300.8000000000002</v>
      </c>
      <c r="GB9" vm="1377">
        <f ca="1"/>
        <v>2307.5</v>
      </c>
      <c r="GC9" vm="1378">
        <f ca="1"/>
        <v>2309.9</v>
      </c>
      <c r="GD9" vm="1379">
        <f ca="1"/>
        <v>2318.75</v>
      </c>
      <c r="GE9" vm="1380">
        <f ca="1"/>
        <v>2351</v>
      </c>
      <c r="GF9" vm="1381">
        <f ca="1"/>
        <v>2348.1</v>
      </c>
      <c r="GG9" vm="1382">
        <f ca="1"/>
        <v>2308.5500000000002</v>
      </c>
      <c r="GH9" vm="1383">
        <f ca="1"/>
        <v>2313.5</v>
      </c>
      <c r="GI9" vm="253">
        <f ca="1"/>
        <v>2292.5500000000002</v>
      </c>
      <c r="GJ9" vm="1384">
        <f ca="1"/>
        <v>2302.25</v>
      </c>
      <c r="GK9" vm="1385">
        <f ca="1"/>
        <v>2311.4499999999998</v>
      </c>
      <c r="GL9" vm="1386">
        <f ca="1"/>
        <v>2341.1999999999998</v>
      </c>
      <c r="GM9" vm="1387">
        <f ca="1"/>
        <v>2349.9</v>
      </c>
      <c r="GN9" vm="1388">
        <f ca="1"/>
        <v>2372.4</v>
      </c>
      <c r="GO9" vm="1389">
        <f ca="1"/>
        <v>2358.4499999999998</v>
      </c>
      <c r="GP9" vm="1390">
        <f ca="1"/>
        <v>2377.0500000000002</v>
      </c>
      <c r="GQ9" vm="1391">
        <f ca="1"/>
        <v>2368.1</v>
      </c>
      <c r="GR9" vm="1392">
        <f ca="1"/>
        <v>2364.5500000000002</v>
      </c>
      <c r="GS9" vm="1393">
        <f ca="1"/>
        <v>2352.0500000000002</v>
      </c>
      <c r="GT9" vm="1394">
        <f ca="1"/>
        <v>2336.0500000000002</v>
      </c>
      <c r="GU9" vm="1361">
        <f ca="1"/>
        <v>2315.1999999999998</v>
      </c>
      <c r="GV9" vm="1395">
        <f ca="1"/>
        <v>2353</v>
      </c>
      <c r="GW9" vm="1396">
        <f ca="1"/>
        <v>2327.6</v>
      </c>
      <c r="GX9" vm="1397">
        <f ca="1"/>
        <v>2322.4499999999998</v>
      </c>
      <c r="GY9" vm="1398">
        <f ca="1"/>
        <v>2332.0500000000002</v>
      </c>
      <c r="GZ9" vm="1399">
        <f ca="1"/>
        <v>2355.6999999999998</v>
      </c>
      <c r="HA9" vm="1400">
        <f ca="1"/>
        <v>2346.15</v>
      </c>
      <c r="HB9" vm="1401">
        <f ca="1"/>
        <v>2347.8000000000002</v>
      </c>
      <c r="HC9" vm="1402">
        <f ca="1"/>
        <v>2350.1999999999998</v>
      </c>
      <c r="HD9" vm="1403">
        <f ca="1"/>
        <v>2369.6999999999998</v>
      </c>
      <c r="HE9" vm="1404">
        <f ca="1"/>
        <v>2432.5</v>
      </c>
      <c r="HF9" vm="1405">
        <f ca="1"/>
        <v>2408.6</v>
      </c>
      <c r="HG9" vm="1406">
        <f ca="1"/>
        <v>2408.1</v>
      </c>
      <c r="HH9" vm="1407">
        <f ca="1"/>
        <v>2440.15</v>
      </c>
      <c r="HI9" vm="1408">
        <f ca="1"/>
        <v>2421.15</v>
      </c>
      <c r="HJ9" vm="1409">
        <f ca="1"/>
        <v>2411.35</v>
      </c>
      <c r="HK9" vm="1410">
        <f ca="1"/>
        <v>2411.75</v>
      </c>
      <c r="HL9" vm="1411">
        <f ca="1"/>
        <v>2389.1999999999998</v>
      </c>
      <c r="HM9" vm="1412">
        <f ca="1"/>
        <v>2419.25</v>
      </c>
      <c r="HN9" vm="1413">
        <f ca="1"/>
        <v>2419.75</v>
      </c>
      <c r="HO9" vm="1414">
        <f ca="1"/>
        <v>2463.9499999999998</v>
      </c>
      <c r="HP9" vm="1415">
        <f ca="1"/>
        <v>2465.15</v>
      </c>
      <c r="HQ9" vm="1416">
        <f ca="1"/>
        <v>2472.1</v>
      </c>
      <c r="HR9" vm="1417">
        <f ca="1"/>
        <v>2450.6999999999998</v>
      </c>
      <c r="HS9" vm="1418">
        <f ca="1"/>
        <v>2471.75</v>
      </c>
      <c r="HT9" vm="1419">
        <f ca="1"/>
        <v>2509.4</v>
      </c>
      <c r="HU9" vm="1420">
        <f ca="1"/>
        <v>2566.4499999999998</v>
      </c>
      <c r="HV9" vm="1421">
        <f ca="1"/>
        <v>2587.25</v>
      </c>
      <c r="HW9" vm="1422">
        <f ca="1"/>
        <v>2550.35</v>
      </c>
      <c r="HX9" vm="1423">
        <f ca="1"/>
        <v>2544.1999999999998</v>
      </c>
      <c r="HY9" vm="1424">
        <f ca="1"/>
        <v>2545.1</v>
      </c>
      <c r="HZ9" vm="1425">
        <f ca="1"/>
        <v>2552.25</v>
      </c>
      <c r="IA9" vm="1426">
        <f ca="1"/>
        <v>2566.6</v>
      </c>
      <c r="IB9" vm="1427">
        <f ca="1"/>
        <v>2535.1999999999998</v>
      </c>
      <c r="IC9" vm="1428">
        <f ca="1"/>
        <v>2533.3000000000002</v>
      </c>
      <c r="ID9" vm="1429">
        <f ca="1"/>
        <v>2526.65</v>
      </c>
      <c r="IE9" vm="1241">
        <f ca="1"/>
        <v>2523.25</v>
      </c>
      <c r="IF9" vm="1430">
        <f ca="1"/>
        <v>2586.15</v>
      </c>
      <c r="IG9" vm="1431">
        <f ca="1"/>
        <v>2582.9499999999998</v>
      </c>
      <c r="IH9" vm="1432">
        <f ca="1"/>
        <v>2594.1999999999998</v>
      </c>
      <c r="II9" vm="1433">
        <f ca="1"/>
        <v>2607.85</v>
      </c>
      <c r="IJ9" vm="1434">
        <f ca="1"/>
        <v>2651.55</v>
      </c>
      <c r="IK9" vm="1435">
        <f ca="1"/>
        <v>2632.45</v>
      </c>
      <c r="IL9" vm="1436">
        <f ca="1"/>
        <v>2638.55</v>
      </c>
      <c r="IM9" vm="1437">
        <f ca="1"/>
        <v>2624.1</v>
      </c>
      <c r="IN9" vm="1438">
        <f ca="1"/>
        <v>2654.85</v>
      </c>
      <c r="IO9" vm="1299">
        <f ca="1"/>
        <v>2634.45</v>
      </c>
      <c r="IP9" vm="953">
        <f ca="1"/>
        <v>2614.9499999999998</v>
      </c>
      <c r="IQ9" vm="1439">
        <f ca="1"/>
        <v>2640.75</v>
      </c>
      <c r="IR9" vm="1280">
        <f ca="1"/>
        <v>2686.65</v>
      </c>
      <c r="IS9" vm="1440">
        <f ca="1"/>
        <v>2693.1</v>
      </c>
      <c r="IT9" vm="1441">
        <f ca="1"/>
        <v>2680.7</v>
      </c>
      <c r="IU9" vm="1442">
        <f ca="1"/>
        <v>2697.7</v>
      </c>
      <c r="IV9" vm="1443">
        <f ca="1"/>
        <v>2673.3</v>
      </c>
      <c r="IW9" vm="1444">
        <f ca="1"/>
        <v>2678.5</v>
      </c>
      <c r="IX9" vm="1445">
        <f ca="1"/>
        <v>2671.25</v>
      </c>
      <c r="IY9" vm="1326">
        <f ca="1"/>
        <v>2636.3</v>
      </c>
    </row>
    <row r="10" spans="1:259" x14ac:dyDescent="0.3">
      <c r="A10" t="e" vm="1446">
        <v>#VALUE!</v>
      </c>
      <c r="B10" t="str">
        <v>Insurance</v>
      </c>
      <c r="C10">
        <v>16</v>
      </c>
      <c r="D10" s="8">
        <v>1269.95</v>
      </c>
      <c r="E10" s="8">
        <v>20319.2</v>
      </c>
      <c r="F10" s="8">
        <v>1276.5</v>
      </c>
      <c r="G10" s="15">
        <f t="shared" si="0"/>
        <v>20424</v>
      </c>
      <c r="H10" s="13">
        <f t="shared" si="1"/>
        <v>104.79999999999927</v>
      </c>
      <c r="I10" s="14">
        <v>1.540168904287556E-2</v>
      </c>
      <c r="L10" cm="1" vm="1447">
        <f t="array" aca="1" ref="L10:IY10" ca="1">TRANSPOSE(_xlfn.STOCKHISTORY(A10, TODAY()-365, TODAY(), 0, 0,1))</f>
        <v>1073.8499999999999</v>
      </c>
      <c r="M10" vm="1448">
        <f ca="1"/>
        <v>1078.55</v>
      </c>
      <c r="N10" vm="1449">
        <f ca="1"/>
        <v>1084.55</v>
      </c>
      <c r="O10" vm="1450">
        <f ca="1"/>
        <v>1078.05</v>
      </c>
      <c r="P10" vm="1451">
        <f ca="1"/>
        <v>1067.6500000000001</v>
      </c>
      <c r="Q10" vm="1452">
        <f ca="1"/>
        <v>1081.5999999999999</v>
      </c>
      <c r="R10" vm="1453">
        <f ca="1"/>
        <v>1099.8499999999999</v>
      </c>
      <c r="S10" vm="1454">
        <f ca="1"/>
        <v>1117.6500000000001</v>
      </c>
      <c r="T10" vm="1455">
        <f ca="1"/>
        <v>1111</v>
      </c>
      <c r="U10" vm="1456">
        <f ca="1"/>
        <v>1116.0999999999999</v>
      </c>
      <c r="V10" vm="1457">
        <f ca="1"/>
        <v>1124.5999999999999</v>
      </c>
      <c r="W10" vm="1458">
        <f ca="1"/>
        <v>1146.9000000000001</v>
      </c>
      <c r="X10" vm="1459">
        <f ca="1"/>
        <v>1147.4000000000001</v>
      </c>
      <c r="Y10" vm="1460">
        <f ca="1"/>
        <v>1139.75</v>
      </c>
      <c r="Z10" vm="1461">
        <f ca="1"/>
        <v>1139.8499999999999</v>
      </c>
      <c r="AA10" vm="1462">
        <f ca="1"/>
        <v>1138.95</v>
      </c>
      <c r="AB10" vm="1463">
        <f ca="1"/>
        <v>1155.45</v>
      </c>
      <c r="AC10" vm="1464">
        <f ca="1"/>
        <v>1177.1500000000001</v>
      </c>
      <c r="AD10" vm="1465">
        <f ca="1"/>
        <v>1169.95</v>
      </c>
      <c r="AE10" vm="1466">
        <f ca="1"/>
        <v>1186.05</v>
      </c>
      <c r="AF10" vm="1467">
        <f ca="1"/>
        <v>1168.55</v>
      </c>
      <c r="AG10" vm="1468">
        <f ca="1"/>
        <v>1164.95</v>
      </c>
      <c r="AH10" vm="1469">
        <f ca="1"/>
        <v>1144.95</v>
      </c>
      <c r="AI10" vm="1470">
        <f ca="1"/>
        <v>1138.2</v>
      </c>
      <c r="AJ10" vm="1471">
        <f ca="1"/>
        <v>1149.3499999999999</v>
      </c>
      <c r="AK10" vm="1472">
        <f ca="1"/>
        <v>1191.45</v>
      </c>
      <c r="AL10" vm="1473">
        <f ca="1"/>
        <v>1294.4000000000001</v>
      </c>
      <c r="AM10" vm="1474">
        <f ca="1"/>
        <v>1313.3</v>
      </c>
      <c r="AN10" vm="1475">
        <f ca="1"/>
        <v>1285.2</v>
      </c>
      <c r="AO10" vm="1476">
        <f ca="1"/>
        <v>1283.55</v>
      </c>
      <c r="AP10" vm="1477">
        <f ca="1"/>
        <v>1278.8</v>
      </c>
      <c r="AQ10" vm="1478">
        <f ca="1"/>
        <v>1266.6500000000001</v>
      </c>
      <c r="AR10" vm="1479">
        <f ca="1"/>
        <v>1269.9000000000001</v>
      </c>
      <c r="AS10" vm="1480">
        <f ca="1"/>
        <v>1273.2</v>
      </c>
      <c r="AT10" vm="1481">
        <f ca="1"/>
        <v>1261.5</v>
      </c>
      <c r="AU10" vm="1482">
        <f ca="1"/>
        <v>1286.55</v>
      </c>
      <c r="AV10" vm="1483">
        <f ca="1"/>
        <v>1309.5999999999999</v>
      </c>
      <c r="AW10" vm="1484">
        <f ca="1"/>
        <v>1305.3499999999999</v>
      </c>
      <c r="AX10" vm="1485">
        <f ca="1"/>
        <v>1324.2</v>
      </c>
      <c r="AY10" vm="1486">
        <f ca="1"/>
        <v>1296.95</v>
      </c>
      <c r="AZ10" vm="1487">
        <f ca="1"/>
        <v>1276</v>
      </c>
      <c r="BA10" vm="1488">
        <f ca="1"/>
        <v>1279.25</v>
      </c>
      <c r="BB10" vm="1489">
        <f ca="1"/>
        <v>1287.5</v>
      </c>
      <c r="BC10" vm="1490">
        <f ca="1"/>
        <v>1297</v>
      </c>
      <c r="BD10" vm="1491">
        <f ca="1"/>
        <v>1313.7</v>
      </c>
      <c r="BE10" vm="1492">
        <f ca="1"/>
        <v>1298.2</v>
      </c>
      <c r="BF10" vm="1493">
        <f ca="1"/>
        <v>1329.1</v>
      </c>
      <c r="BG10" vm="1494">
        <f ca="1"/>
        <v>1296.55</v>
      </c>
      <c r="BH10" vm="1495">
        <f ca="1"/>
        <v>1288.2</v>
      </c>
      <c r="BI10" vm="1496">
        <f ca="1"/>
        <v>1293.4000000000001</v>
      </c>
      <c r="BJ10" vm="1497">
        <f ca="1"/>
        <v>1311.35</v>
      </c>
      <c r="BK10" vm="1498">
        <f ca="1"/>
        <v>1331.55</v>
      </c>
      <c r="BL10" vm="1499">
        <f ca="1"/>
        <v>1317.7</v>
      </c>
      <c r="BM10" vm="1500">
        <f ca="1"/>
        <v>1297.45</v>
      </c>
      <c r="BN10" vm="1501">
        <f ca="1"/>
        <v>1306</v>
      </c>
      <c r="BO10" vm="1502">
        <f ca="1"/>
        <v>1324.4</v>
      </c>
      <c r="BP10" vm="1503">
        <f ca="1"/>
        <v>1303.3</v>
      </c>
      <c r="BQ10" vm="1504">
        <f ca="1"/>
        <v>1295</v>
      </c>
      <c r="BR10" vm="1505">
        <f ca="1"/>
        <v>1272.25</v>
      </c>
      <c r="BS10" vm="1503">
        <f ca="1"/>
        <v>1303.3</v>
      </c>
      <c r="BT10" vm="1506">
        <f ca="1"/>
        <v>1309.3</v>
      </c>
      <c r="BU10" vm="1507">
        <f ca="1"/>
        <v>1306.3</v>
      </c>
      <c r="BV10" vm="1508">
        <f ca="1"/>
        <v>1285.5</v>
      </c>
      <c r="BW10" vm="1509">
        <f ca="1"/>
        <v>1273</v>
      </c>
      <c r="BX10" vm="1510">
        <f ca="1"/>
        <v>1259.8</v>
      </c>
      <c r="BY10" vm="1511">
        <f ca="1"/>
        <v>1242.3</v>
      </c>
      <c r="BZ10" vm="1512">
        <f ca="1"/>
        <v>1238.8</v>
      </c>
      <c r="CA10" vm="1513">
        <f ca="1"/>
        <v>1239.8</v>
      </c>
      <c r="CB10" vm="1514">
        <f ca="1"/>
        <v>1250.45</v>
      </c>
      <c r="CC10" vm="1515">
        <f ca="1"/>
        <v>1237.25</v>
      </c>
      <c r="CD10" vm="1516">
        <f ca="1"/>
        <v>1260.6500000000001</v>
      </c>
      <c r="CE10" vm="1517">
        <f ca="1"/>
        <v>1245.1500000000001</v>
      </c>
      <c r="CF10" vm="1518">
        <f ca="1"/>
        <v>1243.2</v>
      </c>
      <c r="CG10" vm="1519">
        <f ca="1"/>
        <v>1239.3</v>
      </c>
      <c r="CH10" vm="1520">
        <f ca="1"/>
        <v>1206.3499999999999</v>
      </c>
      <c r="CI10" vm="1521">
        <f ca="1"/>
        <v>1212.2</v>
      </c>
      <c r="CJ10" vm="1522">
        <f ca="1"/>
        <v>1187.9000000000001</v>
      </c>
      <c r="CK10" vm="1523">
        <f ca="1"/>
        <v>1179.8</v>
      </c>
      <c r="CL10" vm="1524">
        <f ca="1"/>
        <v>1189.8</v>
      </c>
      <c r="CM10" vm="1525">
        <f ca="1"/>
        <v>1219.05</v>
      </c>
      <c r="CN10" vm="1526">
        <f ca="1"/>
        <v>1227.0999999999999</v>
      </c>
      <c r="CO10" vm="1527">
        <f ca="1"/>
        <v>1222.95</v>
      </c>
      <c r="CP10" vm="1528">
        <f ca="1"/>
        <v>1246.3499999999999</v>
      </c>
      <c r="CQ10" vm="1529">
        <f ca="1"/>
        <v>1257.5999999999999</v>
      </c>
      <c r="CR10" vm="1530">
        <f ca="1"/>
        <v>1254.8499999999999</v>
      </c>
      <c r="CS10" vm="1531">
        <f ca="1"/>
        <v>1252.9000000000001</v>
      </c>
      <c r="CT10" vm="1532">
        <f ca="1"/>
        <v>1252.8</v>
      </c>
      <c r="CU10" vm="1533">
        <f ca="1"/>
        <v>1265.95</v>
      </c>
      <c r="CV10" vm="1534">
        <f ca="1"/>
        <v>1268.75</v>
      </c>
      <c r="CW10" vm="1535">
        <f ca="1"/>
        <v>1272.6500000000001</v>
      </c>
      <c r="CX10" vm="1536">
        <f ca="1"/>
        <v>1276.05</v>
      </c>
      <c r="CY10" vm="1537">
        <f ca="1"/>
        <v>1265.5999999999999</v>
      </c>
      <c r="CZ10" vm="1538">
        <f ca="1"/>
        <v>1278.6500000000001</v>
      </c>
      <c r="DA10" vm="1539">
        <f ca="1"/>
        <v>1263.8</v>
      </c>
      <c r="DB10" vm="1540">
        <f ca="1"/>
        <v>1238.3499999999999</v>
      </c>
      <c r="DC10" vm="1541">
        <f ca="1"/>
        <v>1250.25</v>
      </c>
      <c r="DD10" vm="1542">
        <f ca="1"/>
        <v>1248.5999999999999</v>
      </c>
      <c r="DE10" vm="1543">
        <f ca="1"/>
        <v>1259.3</v>
      </c>
      <c r="DF10" vm="1544">
        <f ca="1"/>
        <v>1254.9000000000001</v>
      </c>
      <c r="DG10" vm="1545">
        <f ca="1"/>
        <v>1254.3499999999999</v>
      </c>
      <c r="DH10" vm="1546">
        <f ca="1"/>
        <v>1242.75</v>
      </c>
      <c r="DI10" vm="1547">
        <f ca="1"/>
        <v>1226.5999999999999</v>
      </c>
      <c r="DJ10" vm="1548">
        <f ca="1"/>
        <v>1229.05</v>
      </c>
      <c r="DK10" vm="1549">
        <f ca="1"/>
        <v>1226.3</v>
      </c>
      <c r="DL10" vm="1550">
        <f ca="1"/>
        <v>1240.6500000000001</v>
      </c>
      <c r="DM10" vm="1551">
        <f ca="1"/>
        <v>1235.25</v>
      </c>
      <c r="DN10" vm="1552">
        <f ca="1"/>
        <v>1253.5</v>
      </c>
      <c r="DO10" vm="1553">
        <f ca="1"/>
        <v>1258.4000000000001</v>
      </c>
      <c r="DP10" vm="1554">
        <f ca="1"/>
        <v>1282.9000000000001</v>
      </c>
      <c r="DQ10" vm="1555">
        <f ca="1"/>
        <v>1290.75</v>
      </c>
      <c r="DR10" vm="1556">
        <f ca="1"/>
        <v>1295.1500000000001</v>
      </c>
      <c r="DS10" vm="1557">
        <f ca="1"/>
        <v>1284.55</v>
      </c>
      <c r="DT10" vm="1558">
        <f ca="1"/>
        <v>1285.0999999999999</v>
      </c>
      <c r="DU10" vm="1559">
        <f ca="1"/>
        <v>1262.05</v>
      </c>
      <c r="DV10" vm="1560">
        <f ca="1"/>
        <v>1266.8499999999999</v>
      </c>
      <c r="DW10" vm="1561">
        <f ca="1"/>
        <v>1269.6500000000001</v>
      </c>
      <c r="DX10" vm="1562">
        <f ca="1"/>
        <v>1263.2</v>
      </c>
      <c r="DY10" vm="1563">
        <f ca="1"/>
        <v>1277.8</v>
      </c>
      <c r="DZ10" vm="1564">
        <f ca="1"/>
        <v>1269.75</v>
      </c>
      <c r="EA10" vm="1565">
        <f ca="1"/>
        <v>1273.5</v>
      </c>
      <c r="EB10" vm="1566">
        <f ca="1"/>
        <v>1254.1500000000001</v>
      </c>
      <c r="EC10" vm="1567">
        <f ca="1"/>
        <v>1267.5</v>
      </c>
      <c r="ED10" vm="1568">
        <f ca="1"/>
        <v>1231.25</v>
      </c>
      <c r="EE10" vm="1569">
        <f ca="1"/>
        <v>1234.3499999999999</v>
      </c>
      <c r="EF10" vm="1570">
        <f ca="1"/>
        <v>1244.75</v>
      </c>
      <c r="EG10" vm="1571">
        <f ca="1"/>
        <v>1224.5999999999999</v>
      </c>
      <c r="EH10" vm="1572">
        <f ca="1"/>
        <v>1243.3</v>
      </c>
      <c r="EI10" vm="1573">
        <f ca="1"/>
        <v>1241.05</v>
      </c>
      <c r="EJ10" vm="1574">
        <f ca="1"/>
        <v>1242.05</v>
      </c>
      <c r="EK10" vm="1575">
        <f ca="1"/>
        <v>1258.5999999999999</v>
      </c>
      <c r="EL10" vm="1576">
        <f ca="1"/>
        <v>1231.3</v>
      </c>
      <c r="EM10" vm="1577">
        <f ca="1"/>
        <v>1240.05</v>
      </c>
      <c r="EN10" vm="1578">
        <f ca="1"/>
        <v>1268.4000000000001</v>
      </c>
      <c r="EO10" vm="1579">
        <f ca="1"/>
        <v>1259.05</v>
      </c>
      <c r="EP10" vm="1580">
        <f ca="1"/>
        <v>1267.6500000000001</v>
      </c>
      <c r="EQ10" vm="1581">
        <f ca="1"/>
        <v>1269.05</v>
      </c>
      <c r="ER10" vm="1582">
        <f ca="1"/>
        <v>1306.3499999999999</v>
      </c>
      <c r="ES10" vm="1583">
        <f ca="1"/>
        <v>1302.5999999999999</v>
      </c>
      <c r="ET10" vm="1584">
        <f ca="1"/>
        <v>1291.3</v>
      </c>
      <c r="EU10" vm="1585">
        <f ca="1"/>
        <v>1315.7</v>
      </c>
      <c r="EV10" vm="1586">
        <f ca="1"/>
        <v>1312.95</v>
      </c>
      <c r="EW10" vm="1587">
        <f ca="1"/>
        <v>1300.9000000000001</v>
      </c>
      <c r="EX10" vm="1588">
        <f ca="1"/>
        <v>1298.45</v>
      </c>
      <c r="EY10" vm="1589">
        <f ca="1"/>
        <v>1310.6500000000001</v>
      </c>
      <c r="EZ10" vm="1590">
        <f ca="1"/>
        <v>1323.1</v>
      </c>
      <c r="FA10" vm="1591">
        <f ca="1"/>
        <v>1296.0999999999999</v>
      </c>
      <c r="FB10" vm="1592">
        <f ca="1"/>
        <v>1295.4000000000001</v>
      </c>
      <c r="FC10" vm="1593">
        <f ca="1"/>
        <v>1273.25</v>
      </c>
      <c r="FD10" vm="1594">
        <f ca="1"/>
        <v>1257.45</v>
      </c>
      <c r="FE10" vm="1541">
        <f ca="1"/>
        <v>1250.25</v>
      </c>
      <c r="FF10" vm="1595">
        <f ca="1"/>
        <v>1233.45</v>
      </c>
      <c r="FG10" vm="1596">
        <f ca="1"/>
        <v>1219.55</v>
      </c>
      <c r="FH10" vm="1597">
        <f ca="1"/>
        <v>1109.4000000000001</v>
      </c>
      <c r="FI10" vm="1598">
        <f ca="1"/>
        <v>1107.5</v>
      </c>
      <c r="FJ10" vm="1599">
        <f ca="1"/>
        <v>1138.05</v>
      </c>
      <c r="FK10" vm="1600">
        <f ca="1"/>
        <v>1138.4000000000001</v>
      </c>
      <c r="FL10" vm="1601">
        <f ca="1"/>
        <v>1131.75</v>
      </c>
      <c r="FM10" vm="1602">
        <f ca="1"/>
        <v>1164.5</v>
      </c>
      <c r="FN10" vm="1603">
        <f ca="1"/>
        <v>1180.45</v>
      </c>
      <c r="FO10" vm="1604">
        <f ca="1"/>
        <v>1184.5</v>
      </c>
      <c r="FP10" vm="1605">
        <f ca="1"/>
        <v>1179.0999999999999</v>
      </c>
      <c r="FQ10" vm="1606">
        <f ca="1"/>
        <v>1161.7</v>
      </c>
      <c r="FR10" vm="1607">
        <f ca="1"/>
        <v>1180.3499999999999</v>
      </c>
      <c r="FS10" vm="1608">
        <f ca="1"/>
        <v>1174.0999999999999</v>
      </c>
      <c r="FT10" vm="1609">
        <f ca="1"/>
        <v>1149.7</v>
      </c>
      <c r="FU10" vm="1610">
        <f ca="1"/>
        <v>1158.4000000000001</v>
      </c>
      <c r="FV10" vm="1611">
        <f ca="1"/>
        <v>1150.3499999999999</v>
      </c>
      <c r="FW10" vm="1612">
        <f ca="1"/>
        <v>1131.1500000000001</v>
      </c>
      <c r="FX10" vm="1613">
        <f ca="1"/>
        <v>1135.4000000000001</v>
      </c>
      <c r="FY10" vm="1614">
        <f ca="1"/>
        <v>1122.05</v>
      </c>
      <c r="FZ10" vm="1615">
        <f ca="1"/>
        <v>1129.1500000000001</v>
      </c>
      <c r="GA10" vm="1616">
        <f ca="1"/>
        <v>1121</v>
      </c>
      <c r="GB10" vm="1617">
        <f ca="1"/>
        <v>1118.1500000000001</v>
      </c>
      <c r="GC10" vm="1618">
        <f ca="1"/>
        <v>1100.1500000000001</v>
      </c>
      <c r="GD10" vm="1619">
        <f ca="1"/>
        <v>1129.25</v>
      </c>
      <c r="GE10" vm="1620">
        <f ca="1"/>
        <v>1128.7</v>
      </c>
      <c r="GF10" vm="1621">
        <f ca="1"/>
        <v>1129.2</v>
      </c>
      <c r="GG10" vm="1622">
        <f ca="1"/>
        <v>1096.7</v>
      </c>
      <c r="GH10" vm="1623">
        <f ca="1"/>
        <v>1095.9000000000001</v>
      </c>
      <c r="GI10" vm="1624">
        <f ca="1"/>
        <v>1072.5</v>
      </c>
      <c r="GJ10" vm="1625">
        <f ca="1"/>
        <v>1077.0999999999999</v>
      </c>
      <c r="GK10" vm="1626">
        <f ca="1"/>
        <v>1067.05</v>
      </c>
      <c r="GL10" vm="1627">
        <f ca="1"/>
        <v>1062.6500000000001</v>
      </c>
      <c r="GM10" vm="1628">
        <f ca="1"/>
        <v>1071.5999999999999</v>
      </c>
      <c r="GN10" vm="1629">
        <f ca="1"/>
        <v>1074.0999999999999</v>
      </c>
      <c r="GO10" vm="1630">
        <f ca="1"/>
        <v>1097.7</v>
      </c>
      <c r="GP10" vm="1631">
        <f ca="1"/>
        <v>1113.0999999999999</v>
      </c>
      <c r="GQ10" vm="1632">
        <f ca="1"/>
        <v>1118.6500000000001</v>
      </c>
      <c r="GR10" vm="1633">
        <f ca="1"/>
        <v>1112.2</v>
      </c>
      <c r="GS10" vm="1634">
        <f ca="1"/>
        <v>1099.3</v>
      </c>
      <c r="GT10" vm="1635">
        <f ca="1"/>
        <v>1091.3</v>
      </c>
      <c r="GU10" vm="1636">
        <f ca="1"/>
        <v>1098.7</v>
      </c>
      <c r="GV10" vm="1637">
        <f ca="1"/>
        <v>1101.0999999999999</v>
      </c>
      <c r="GW10" vm="1638">
        <f ca="1"/>
        <v>1103.8</v>
      </c>
      <c r="GX10" vm="1639">
        <f ca="1"/>
        <v>1105.55</v>
      </c>
      <c r="GY10" vm="1640">
        <f ca="1"/>
        <v>1116.25</v>
      </c>
      <c r="GZ10" vm="1641">
        <f ca="1"/>
        <v>1106.25</v>
      </c>
      <c r="HA10" vm="1642">
        <f ca="1"/>
        <v>1112.6500000000001</v>
      </c>
      <c r="HB10" vm="1643">
        <f ca="1"/>
        <v>1126.8499999999999</v>
      </c>
      <c r="HC10" vm="1644">
        <f ca="1"/>
        <v>1130.25</v>
      </c>
      <c r="HD10" vm="1645">
        <f ca="1"/>
        <v>1145.3499999999999</v>
      </c>
      <c r="HE10" vm="1646">
        <f ca="1"/>
        <v>1145.55</v>
      </c>
      <c r="HF10" vm="1647">
        <f ca="1"/>
        <v>1123.4000000000001</v>
      </c>
      <c r="HG10" vm="1648">
        <f ca="1"/>
        <v>1128.8499999999999</v>
      </c>
      <c r="HH10" vm="1649">
        <f ca="1"/>
        <v>1106.55</v>
      </c>
      <c r="HI10" vm="1650">
        <f ca="1"/>
        <v>1105.7</v>
      </c>
      <c r="HJ10" vm="1651">
        <f ca="1"/>
        <v>1105.8499999999999</v>
      </c>
      <c r="HK10" vm="1652">
        <f ca="1"/>
        <v>1118.3</v>
      </c>
      <c r="HL10" vm="1653">
        <f ca="1"/>
        <v>1137.05</v>
      </c>
      <c r="HM10" vm="1654">
        <f ca="1"/>
        <v>1140.0999999999999</v>
      </c>
      <c r="HN10" vm="1655">
        <f ca="1"/>
        <v>1150.9000000000001</v>
      </c>
      <c r="HO10" vm="1656">
        <f ca="1"/>
        <v>1136.9000000000001</v>
      </c>
      <c r="HP10" vm="1657">
        <f ca="1"/>
        <v>1167.45</v>
      </c>
      <c r="HQ10" vm="1658">
        <f ca="1"/>
        <v>1173.7</v>
      </c>
      <c r="HR10" vm="1659">
        <f ca="1"/>
        <v>1182.3499999999999</v>
      </c>
      <c r="HS10" vm="1660">
        <f ca="1"/>
        <v>1183.1500000000001</v>
      </c>
      <c r="HT10" vm="1661">
        <f ca="1"/>
        <v>1188.8</v>
      </c>
      <c r="HU10" vm="1662">
        <f ca="1"/>
        <v>1185.4000000000001</v>
      </c>
      <c r="HV10" vm="1663">
        <f ca="1"/>
        <v>1187.05</v>
      </c>
      <c r="HW10" vm="1664">
        <f ca="1"/>
        <v>1189.45</v>
      </c>
      <c r="HX10" vm="1665">
        <f ca="1"/>
        <v>1180.75</v>
      </c>
      <c r="HY10" vm="1666">
        <f ca="1"/>
        <v>1162.5999999999999</v>
      </c>
      <c r="HZ10" vm="1667">
        <f ca="1"/>
        <v>1152.7</v>
      </c>
      <c r="IA10" vm="1668">
        <f ca="1"/>
        <v>1154.1500000000001</v>
      </c>
      <c r="IB10" vm="1669">
        <f ca="1"/>
        <v>1150.8</v>
      </c>
      <c r="IC10" vm="1670">
        <f ca="1"/>
        <v>1165.5999999999999</v>
      </c>
      <c r="ID10" vm="1671">
        <f ca="1"/>
        <v>1175.3499999999999</v>
      </c>
      <c r="IE10" vm="1672">
        <f ca="1"/>
        <v>1177.3499999999999</v>
      </c>
      <c r="IF10" vm="1673">
        <f ca="1"/>
        <v>1195.75</v>
      </c>
      <c r="IG10" vm="1674">
        <f ca="1"/>
        <v>1218.0999999999999</v>
      </c>
      <c r="IH10" vm="1675">
        <f ca="1"/>
        <v>1215.9000000000001</v>
      </c>
      <c r="II10" vm="1676">
        <f ca="1"/>
        <v>1235</v>
      </c>
      <c r="IJ10" vm="1677">
        <f ca="1"/>
        <v>1207.75</v>
      </c>
      <c r="IK10" vm="1678">
        <f ca="1"/>
        <v>1202.5</v>
      </c>
      <c r="IL10" vm="1679">
        <f ca="1"/>
        <v>1215.4000000000001</v>
      </c>
      <c r="IM10" vm="1680">
        <f ca="1"/>
        <v>1223</v>
      </c>
      <c r="IN10" vm="1681">
        <f ca="1"/>
        <v>1245.8</v>
      </c>
      <c r="IO10" vm="1682">
        <f ca="1"/>
        <v>1238.9000000000001</v>
      </c>
      <c r="IP10" vm="1683">
        <f ca="1"/>
        <v>1232.4000000000001</v>
      </c>
      <c r="IQ10" vm="1682">
        <f ca="1"/>
        <v>1238.9000000000001</v>
      </c>
      <c r="IR10" vm="1572">
        <f ca="1"/>
        <v>1243.3</v>
      </c>
      <c r="IS10" vm="1511">
        <f ca="1"/>
        <v>1242.3</v>
      </c>
      <c r="IT10" vm="1684">
        <f ca="1"/>
        <v>1241.0999999999999</v>
      </c>
      <c r="IU10" vm="1685">
        <f ca="1"/>
        <v>1281.3499999999999</v>
      </c>
      <c r="IV10" vm="1686">
        <f ca="1"/>
        <v>1280.5</v>
      </c>
      <c r="IW10" vm="1687">
        <f ca="1"/>
        <v>1295.3499999999999</v>
      </c>
      <c r="IX10" vm="1688">
        <f ca="1"/>
        <v>1294.95</v>
      </c>
      <c r="IY10" vm="1689">
        <f ca="1"/>
        <v>1276.5</v>
      </c>
    </row>
    <row r="11" spans="1:259" x14ac:dyDescent="0.3">
      <c r="A11" t="e" vm="1690">
        <v>#VALUE!</v>
      </c>
      <c r="B11" t="str">
        <v>Household Goods</v>
      </c>
      <c r="C11">
        <v>36</v>
      </c>
      <c r="D11" s="8">
        <v>1447.95</v>
      </c>
      <c r="E11" s="8">
        <v>52126.200000000004</v>
      </c>
      <c r="F11" s="8">
        <v>1463.65</v>
      </c>
      <c r="G11" s="15">
        <f t="shared" si="0"/>
        <v>52691.4</v>
      </c>
      <c r="H11" s="13">
        <f t="shared" si="1"/>
        <v>565.19999999999709</v>
      </c>
      <c r="I11" s="14">
        <v>6.0036987158088844E-3</v>
      </c>
      <c r="L11" cm="1" vm="1691">
        <f t="array" aca="1" ref="L11:IY11" ca="1">TRANSPOSE(_xlfn.STOCKHISTORY(A11, TODAY()-365, TODAY(), 0, 0,1))</f>
        <v>1475.9</v>
      </c>
      <c r="M11" vm="1692">
        <f ca="1"/>
        <v>1520.7</v>
      </c>
      <c r="N11" vm="1693">
        <f ca="1"/>
        <v>1542.4</v>
      </c>
      <c r="O11" vm="1694">
        <f ca="1"/>
        <v>1537.5</v>
      </c>
      <c r="P11" vm="1695">
        <f ca="1"/>
        <v>1561.75</v>
      </c>
      <c r="Q11" vm="1696">
        <f ca="1"/>
        <v>1560.85</v>
      </c>
      <c r="R11" vm="1697">
        <f ca="1"/>
        <v>1553.4</v>
      </c>
      <c r="S11" vm="1698">
        <f ca="1"/>
        <v>1556</v>
      </c>
      <c r="T11" vm="1699">
        <f ca="1"/>
        <v>1550.4</v>
      </c>
      <c r="U11" vm="1700">
        <f ca="1"/>
        <v>1612.6</v>
      </c>
      <c r="V11" vm="1701">
        <f ca="1"/>
        <v>1664.4</v>
      </c>
      <c r="W11" vm="1702">
        <f ca="1"/>
        <v>1658.6</v>
      </c>
      <c r="X11" vm="1703">
        <f ca="1"/>
        <v>1669.6</v>
      </c>
      <c r="Y11" vm="1704">
        <f ca="1"/>
        <v>1647.4</v>
      </c>
      <c r="Z11" vm="1705">
        <f ca="1"/>
        <v>1641.9</v>
      </c>
      <c r="AA11" vm="1706">
        <f ca="1"/>
        <v>1671.05</v>
      </c>
      <c r="AB11" vm="1707">
        <f ca="1"/>
        <v>1692.8</v>
      </c>
      <c r="AC11" vm="1708">
        <f ca="1"/>
        <v>1688.4</v>
      </c>
      <c r="AD11" vm="1709">
        <f ca="1"/>
        <v>1689.65</v>
      </c>
      <c r="AE11" vm="1710">
        <f ca="1"/>
        <v>1695.35</v>
      </c>
      <c r="AF11" vm="1711">
        <f ca="1"/>
        <v>1710.05</v>
      </c>
      <c r="AG11" vm="1712">
        <f ca="1"/>
        <v>1738.7</v>
      </c>
      <c r="AH11" vm="1713">
        <f ca="1"/>
        <v>1727.75</v>
      </c>
      <c r="AI11" vm="1714">
        <f ca="1"/>
        <v>1731.9</v>
      </c>
      <c r="AJ11" vm="1715">
        <f ca="1"/>
        <v>1765.2</v>
      </c>
      <c r="AK11" vm="1716">
        <f ca="1"/>
        <v>1781.1</v>
      </c>
      <c r="AL11" vm="1717">
        <f ca="1"/>
        <v>1773.4</v>
      </c>
      <c r="AM11" vm="1718">
        <f ca="1"/>
        <v>1783.1</v>
      </c>
      <c r="AN11" vm="1719">
        <f ca="1"/>
        <v>1783.6</v>
      </c>
      <c r="AO11" vm="1720">
        <f ca="1"/>
        <v>1786.05</v>
      </c>
      <c r="AP11" vm="1721">
        <f ca="1"/>
        <v>1789.5</v>
      </c>
      <c r="AQ11" vm="1722">
        <f ca="1"/>
        <v>1787.4</v>
      </c>
      <c r="AR11" vm="1723">
        <f ca="1"/>
        <v>1802.45</v>
      </c>
      <c r="AS11" vm="1724">
        <f ca="1"/>
        <v>1794.45</v>
      </c>
      <c r="AT11" vm="1725">
        <f ca="1"/>
        <v>1798.5</v>
      </c>
      <c r="AU11" vm="1726">
        <f ca="1"/>
        <v>1786.15</v>
      </c>
      <c r="AV11" vm="1727">
        <f ca="1"/>
        <v>1790.6</v>
      </c>
      <c r="AW11" vm="1728">
        <f ca="1"/>
        <v>1815.7</v>
      </c>
      <c r="AX11" vm="1729">
        <f ca="1"/>
        <v>1818.35</v>
      </c>
      <c r="AY11" vm="1730">
        <f ca="1"/>
        <v>1838.6</v>
      </c>
      <c r="AZ11" vm="1731">
        <f ca="1"/>
        <v>1763.95</v>
      </c>
      <c r="BA11" vm="1732">
        <f ca="1"/>
        <v>1797.35</v>
      </c>
      <c r="BB11" vm="1733">
        <f ca="1"/>
        <v>1792.65</v>
      </c>
      <c r="BC11" vm="1734">
        <f ca="1"/>
        <v>1838.7</v>
      </c>
      <c r="BD11" vm="1735">
        <f ca="1"/>
        <v>1816.5</v>
      </c>
      <c r="BE11" vm="1736">
        <f ca="1"/>
        <v>1798.45</v>
      </c>
      <c r="BF11" vm="1737">
        <f ca="1"/>
        <v>1824.15</v>
      </c>
      <c r="BG11" vm="1738">
        <f ca="1"/>
        <v>1819.1</v>
      </c>
      <c r="BH11" vm="1739">
        <f ca="1"/>
        <v>1793.4</v>
      </c>
      <c r="BI11" vm="1740">
        <f ca="1"/>
        <v>1790.95</v>
      </c>
      <c r="BJ11" vm="1741">
        <f ca="1"/>
        <v>1799.35</v>
      </c>
      <c r="BK11" vm="1742">
        <f ca="1"/>
        <v>1817.15</v>
      </c>
      <c r="BL11" vm="1743">
        <f ca="1"/>
        <v>1802.9</v>
      </c>
      <c r="BM11" vm="1744">
        <f ca="1"/>
        <v>1754.3</v>
      </c>
      <c r="BN11" vm="1745">
        <f ca="1"/>
        <v>1752.55</v>
      </c>
      <c r="BO11" vm="1746">
        <f ca="1"/>
        <v>1770.65</v>
      </c>
      <c r="BP11" vm="1747">
        <f ca="1"/>
        <v>1759.55</v>
      </c>
      <c r="BQ11" vm="1748">
        <f ca="1"/>
        <v>1745.95</v>
      </c>
      <c r="BR11" vm="1749">
        <f ca="1"/>
        <v>1713.45</v>
      </c>
      <c r="BS11" vm="1750">
        <f ca="1"/>
        <v>1709.95</v>
      </c>
      <c r="BT11" vm="1751">
        <f ca="1"/>
        <v>1737.6</v>
      </c>
      <c r="BU11" vm="1752">
        <f ca="1"/>
        <v>1699.5</v>
      </c>
      <c r="BV11" vm="1753">
        <f ca="1"/>
        <v>1686.3</v>
      </c>
      <c r="BW11" vm="1754">
        <f ca="1"/>
        <v>1655.7</v>
      </c>
      <c r="BX11" vm="1755">
        <f ca="1"/>
        <v>1632.55</v>
      </c>
      <c r="BY11" vm="1756">
        <f ca="1"/>
        <v>1623.15</v>
      </c>
      <c r="BZ11" vm="1757">
        <f ca="1"/>
        <v>1633.9</v>
      </c>
      <c r="CA11" vm="1758">
        <f ca="1"/>
        <v>1640.55</v>
      </c>
      <c r="CB11" vm="1759">
        <f ca="1"/>
        <v>1634.5</v>
      </c>
      <c r="CC11" vm="1760">
        <f ca="1"/>
        <v>1620.7</v>
      </c>
      <c r="CD11" vm="1761">
        <f ca="1"/>
        <v>1651.25</v>
      </c>
      <c r="CE11" vm="1762">
        <f ca="1"/>
        <v>1656</v>
      </c>
      <c r="CF11" vm="1763">
        <f ca="1"/>
        <v>1646.45</v>
      </c>
      <c r="CG11" vm="1764">
        <f ca="1"/>
        <v>1647.35</v>
      </c>
      <c r="CH11" vm="1765">
        <f ca="1"/>
        <v>1622.65</v>
      </c>
      <c r="CI11" vm="1766">
        <f ca="1"/>
        <v>1596.9</v>
      </c>
      <c r="CJ11" vm="1767">
        <f ca="1"/>
        <v>1579.5</v>
      </c>
      <c r="CK11" vm="1768">
        <f ca="1"/>
        <v>1566.2</v>
      </c>
      <c r="CL11" vm="1769">
        <f ca="1"/>
        <v>1556.1</v>
      </c>
      <c r="CM11" vm="1770">
        <f ca="1"/>
        <v>1600.65</v>
      </c>
      <c r="CN11" vm="1771">
        <f ca="1"/>
        <v>1622.15</v>
      </c>
      <c r="CO11" vm="1772">
        <f ca="1"/>
        <v>1645.65</v>
      </c>
      <c r="CP11" vm="1773">
        <f ca="1"/>
        <v>1593.2</v>
      </c>
      <c r="CQ11" vm="1774">
        <f ca="1"/>
        <v>1607.7</v>
      </c>
      <c r="CR11" vm="1775">
        <f ca="1"/>
        <v>1561.85</v>
      </c>
      <c r="CS11" vm="1776">
        <f ca="1"/>
        <v>1582.25</v>
      </c>
      <c r="CT11" vm="1777">
        <f ca="1"/>
        <v>1565.05</v>
      </c>
      <c r="CU11" vm="1778">
        <f ca="1"/>
        <v>1575.45</v>
      </c>
      <c r="CV11" vm="1779">
        <f ca="1"/>
        <v>1564.55</v>
      </c>
      <c r="CW11" vm="1780">
        <f ca="1"/>
        <v>1544.55</v>
      </c>
      <c r="CX11" vm="1781">
        <f ca="1"/>
        <v>1518.95</v>
      </c>
      <c r="CY11" vm="1782">
        <f ca="1"/>
        <v>1520.2</v>
      </c>
      <c r="CZ11" vm="1783">
        <f ca="1"/>
        <v>1527.65</v>
      </c>
      <c r="DA11" vm="1784">
        <f ca="1"/>
        <v>1503.3</v>
      </c>
      <c r="DB11" vm="1785">
        <f ca="1"/>
        <v>1515.35</v>
      </c>
      <c r="DC11" vm="1786">
        <f ca="1"/>
        <v>1530.55</v>
      </c>
      <c r="DD11" vm="1787">
        <f ca="1"/>
        <v>1529</v>
      </c>
      <c r="DE11" vm="1788">
        <f ca="1"/>
        <v>1525.75</v>
      </c>
      <c r="DF11" vm="1789">
        <f ca="1"/>
        <v>1522.35</v>
      </c>
      <c r="DG11" vm="1790">
        <f ca="1"/>
        <v>1526.6</v>
      </c>
      <c r="DH11" vm="1791">
        <f ca="1"/>
        <v>1522.7</v>
      </c>
      <c r="DI11" vm="1792">
        <f ca="1"/>
        <v>1497</v>
      </c>
      <c r="DJ11" vm="1793">
        <f ca="1"/>
        <v>1497.7</v>
      </c>
      <c r="DK11" vm="1794">
        <f ca="1"/>
        <v>1492.3</v>
      </c>
      <c r="DL11" vm="1795">
        <f ca="1"/>
        <v>1487.2</v>
      </c>
      <c r="DM11" vm="1796">
        <f ca="1"/>
        <v>1511.45</v>
      </c>
      <c r="DN11" vm="1797">
        <f ca="1"/>
        <v>1519.7</v>
      </c>
      <c r="DO11" vm="1798">
        <f ca="1"/>
        <v>1526.05</v>
      </c>
      <c r="DP11" vm="1783">
        <f ca="1"/>
        <v>1527.65</v>
      </c>
      <c r="DQ11" vm="1799">
        <f ca="1"/>
        <v>1522.85</v>
      </c>
      <c r="DR11" vm="1800">
        <f ca="1"/>
        <v>1536</v>
      </c>
      <c r="DS11" vm="1801">
        <f ca="1"/>
        <v>1529.55</v>
      </c>
      <c r="DT11" vm="1802">
        <f ca="1"/>
        <v>1525.6</v>
      </c>
      <c r="DU11" vm="1803">
        <f ca="1"/>
        <v>1512.55</v>
      </c>
      <c r="DV11" vm="1804">
        <f ca="1"/>
        <v>1523.3</v>
      </c>
      <c r="DW11" vm="1805">
        <f ca="1"/>
        <v>1516.8</v>
      </c>
      <c r="DX11" vm="1806">
        <f ca="1"/>
        <v>1508.55</v>
      </c>
      <c r="DY11" vm="1807">
        <f ca="1"/>
        <v>1515.05</v>
      </c>
      <c r="DZ11" vm="1808">
        <f ca="1"/>
        <v>1509.5</v>
      </c>
      <c r="EA11" vm="1809">
        <f ca="1"/>
        <v>1500.15</v>
      </c>
      <c r="EB11" vm="1810">
        <f ca="1"/>
        <v>1488.3</v>
      </c>
      <c r="EC11" vm="1811">
        <f ca="1"/>
        <v>1496.4</v>
      </c>
      <c r="ED11" vm="1812">
        <f ca="1"/>
        <v>1507.45</v>
      </c>
      <c r="EE11" vm="1813">
        <f ca="1"/>
        <v>1495.75</v>
      </c>
      <c r="EF11" vm="1814">
        <f ca="1"/>
        <v>1488.9</v>
      </c>
      <c r="EG11" vm="1815">
        <f ca="1"/>
        <v>1474.65</v>
      </c>
      <c r="EH11" vm="1816">
        <f ca="1"/>
        <v>1485.85</v>
      </c>
      <c r="EI11" vm="1817">
        <f ca="1"/>
        <v>1487.65</v>
      </c>
      <c r="EJ11" vm="1818">
        <f ca="1"/>
        <v>1488.8</v>
      </c>
      <c r="EK11" vm="1819">
        <f ca="1"/>
        <v>1484.85</v>
      </c>
      <c r="EL11" vm="1820">
        <f ca="1"/>
        <v>1497.1</v>
      </c>
      <c r="EM11" vm="1821">
        <f ca="1"/>
        <v>1496.05</v>
      </c>
      <c r="EN11" vm="1822">
        <f ca="1"/>
        <v>1515.5</v>
      </c>
      <c r="EO11" vm="1823">
        <f ca="1"/>
        <v>1505.75</v>
      </c>
      <c r="EP11" vm="1824">
        <f ca="1"/>
        <v>1512.15</v>
      </c>
      <c r="EQ11" vm="1825">
        <f ca="1"/>
        <v>1501</v>
      </c>
      <c r="ER11" vm="1826">
        <f ca="1"/>
        <v>1492.75</v>
      </c>
      <c r="ES11" vm="1827">
        <f ca="1"/>
        <v>1486.1</v>
      </c>
      <c r="ET11" vm="1828">
        <f ca="1"/>
        <v>1482.65</v>
      </c>
      <c r="EU11" vm="1829">
        <f ca="1"/>
        <v>1480.7</v>
      </c>
      <c r="EV11" vm="1830">
        <f ca="1"/>
        <v>1448.4</v>
      </c>
      <c r="EW11" vm="1831">
        <f ca="1"/>
        <v>1475.45</v>
      </c>
      <c r="EX11" vm="1832">
        <f ca="1"/>
        <v>1440.85</v>
      </c>
      <c r="EY11" vm="1833">
        <f ca="1"/>
        <v>1440.4</v>
      </c>
      <c r="EZ11" vm="1833">
        <f ca="1"/>
        <v>1440.4</v>
      </c>
      <c r="FA11" vm="1834">
        <f ca="1"/>
        <v>1423.9</v>
      </c>
      <c r="FB11" vm="1835">
        <f ca="1"/>
        <v>1428.95</v>
      </c>
      <c r="FC11" vm="1836">
        <f ca="1"/>
        <v>1429.85</v>
      </c>
      <c r="FD11" vm="1837">
        <f ca="1"/>
        <v>1409.7</v>
      </c>
      <c r="FE11" vm="1838">
        <f ca="1"/>
        <v>1392.4</v>
      </c>
      <c r="FF11" vm="1839">
        <f ca="1"/>
        <v>1412.75</v>
      </c>
      <c r="FG11" vm="1840">
        <f ca="1"/>
        <v>1391.1</v>
      </c>
      <c r="FH11" vm="1841">
        <f ca="1"/>
        <v>1344.5</v>
      </c>
      <c r="FI11" vm="1842">
        <f ca="1"/>
        <v>1260.0999999999999</v>
      </c>
      <c r="FJ11" vm="1843">
        <f ca="1"/>
        <v>1260.8</v>
      </c>
      <c r="FK11" vm="1844">
        <f ca="1"/>
        <v>1262.9000000000001</v>
      </c>
      <c r="FL11" vm="1845">
        <f ca="1"/>
        <v>1253.8499999999999</v>
      </c>
      <c r="FM11" vm="1846">
        <f ca="1"/>
        <v>1278.3</v>
      </c>
      <c r="FN11" vm="1847">
        <f ca="1"/>
        <v>1282.6500000000001</v>
      </c>
      <c r="FO11" vm="1848">
        <f ca="1"/>
        <v>1291.8</v>
      </c>
      <c r="FP11" vm="1849">
        <f ca="1"/>
        <v>1290.05</v>
      </c>
      <c r="FQ11" vm="1850">
        <f ca="1"/>
        <v>1284.75</v>
      </c>
      <c r="FR11" vm="1851">
        <f ca="1"/>
        <v>1306.75</v>
      </c>
      <c r="FS11" vm="1852">
        <f ca="1"/>
        <v>1308.3499999999999</v>
      </c>
      <c r="FT11" vm="1853">
        <f ca="1"/>
        <v>1286.7</v>
      </c>
      <c r="FU11" vm="1854">
        <f ca="1"/>
        <v>1296.7</v>
      </c>
      <c r="FV11" vm="1855">
        <f ca="1"/>
        <v>1297.95</v>
      </c>
      <c r="FW11" vm="1856">
        <f ca="1"/>
        <v>1279.05</v>
      </c>
      <c r="FX11" vm="1857">
        <f ca="1"/>
        <v>1269.55</v>
      </c>
      <c r="FY11" vm="1858">
        <f ca="1"/>
        <v>1321</v>
      </c>
      <c r="FZ11" vm="1859">
        <f ca="1"/>
        <v>1310.3</v>
      </c>
      <c r="GA11" vm="1860">
        <f ca="1"/>
        <v>1304.25</v>
      </c>
      <c r="GB11" vm="1861">
        <f ca="1"/>
        <v>1305.4000000000001</v>
      </c>
      <c r="GC11" vm="1862">
        <f ca="1"/>
        <v>1310.7</v>
      </c>
      <c r="GD11" vm="1863">
        <f ca="1"/>
        <v>1320.85</v>
      </c>
      <c r="GE11" vm="1864">
        <f ca="1"/>
        <v>1339.7</v>
      </c>
      <c r="GF11" vm="1865">
        <f ca="1"/>
        <v>1363.4</v>
      </c>
      <c r="GG11" vm="1866">
        <f ca="1"/>
        <v>1363.65</v>
      </c>
      <c r="GH11" vm="1867">
        <f ca="1"/>
        <v>1354.4</v>
      </c>
      <c r="GI11" vm="1868">
        <f ca="1"/>
        <v>1315.15</v>
      </c>
      <c r="GJ11" vm="1869">
        <f ca="1"/>
        <v>1324.65</v>
      </c>
      <c r="GK11" vm="1870">
        <f ca="1"/>
        <v>1339.8</v>
      </c>
      <c r="GL11" vm="1871">
        <f ca="1"/>
        <v>1340.9</v>
      </c>
      <c r="GM11" vm="1872">
        <f ca="1"/>
        <v>1363</v>
      </c>
      <c r="GN11" vm="1873">
        <f ca="1"/>
        <v>1342.45</v>
      </c>
      <c r="GO11" vm="1874">
        <f ca="1"/>
        <v>1340.2</v>
      </c>
      <c r="GP11" vm="1875">
        <f ca="1"/>
        <v>1347.15</v>
      </c>
      <c r="GQ11" vm="1876">
        <f ca="1"/>
        <v>1340.7</v>
      </c>
      <c r="GR11" vm="1877">
        <f ca="1"/>
        <v>1334.6</v>
      </c>
      <c r="GS11" vm="1878">
        <f ca="1"/>
        <v>1330.2</v>
      </c>
      <c r="GT11" vm="1879">
        <f ca="1"/>
        <v>1323.05</v>
      </c>
      <c r="GU11" vm="1880">
        <f ca="1"/>
        <v>1294.2</v>
      </c>
      <c r="GV11" vm="1881">
        <f ca="1"/>
        <v>1315.05</v>
      </c>
      <c r="GW11" vm="1882">
        <f ca="1"/>
        <v>1326.75</v>
      </c>
      <c r="GX11" vm="1883">
        <f ca="1"/>
        <v>1325.25</v>
      </c>
      <c r="GY11" vm="1884">
        <f ca="1"/>
        <v>1328.65</v>
      </c>
      <c r="GZ11" vm="1885">
        <f ca="1"/>
        <v>1326.85</v>
      </c>
      <c r="HA11" vm="1886">
        <f ca="1"/>
        <v>1317</v>
      </c>
      <c r="HB11" vm="1887">
        <f ca="1"/>
        <v>1311.45</v>
      </c>
      <c r="HC11" vm="1888">
        <f ca="1"/>
        <v>1337.1</v>
      </c>
      <c r="HD11" vm="1889">
        <f ca="1"/>
        <v>1329.7</v>
      </c>
      <c r="HE11" vm="1890">
        <f ca="1"/>
        <v>1328.1</v>
      </c>
      <c r="HF11" vm="1891">
        <f ca="1"/>
        <v>1327.7</v>
      </c>
      <c r="HG11" vm="1892">
        <f ca="1"/>
        <v>1322.95</v>
      </c>
      <c r="HH11" vm="1893">
        <f ca="1"/>
        <v>1322.2</v>
      </c>
      <c r="HI11" vm="1894">
        <f ca="1"/>
        <v>1321.95</v>
      </c>
      <c r="HJ11" vm="1895">
        <f ca="1"/>
        <v>1325.2</v>
      </c>
      <c r="HK11" vm="1896">
        <f ca="1"/>
        <v>1320.7</v>
      </c>
      <c r="HL11" vm="1897">
        <f ca="1"/>
        <v>1315.55</v>
      </c>
      <c r="HM11" vm="1879">
        <f ca="1"/>
        <v>1323.05</v>
      </c>
      <c r="HN11" vm="1898">
        <f ca="1"/>
        <v>1316.85</v>
      </c>
      <c r="HO11" vm="1899">
        <f ca="1"/>
        <v>1335.05</v>
      </c>
      <c r="HP11" vm="1900">
        <f ca="1"/>
        <v>1341.5</v>
      </c>
      <c r="HQ11" vm="1901">
        <f ca="1"/>
        <v>1325.65</v>
      </c>
      <c r="HR11" vm="1902">
        <f ca="1"/>
        <v>1344.85</v>
      </c>
      <c r="HS11" vm="1903">
        <f ca="1"/>
        <v>1333.45</v>
      </c>
      <c r="HT11" vm="1904">
        <f ca="1"/>
        <v>1315</v>
      </c>
      <c r="HU11" vm="1905">
        <f ca="1"/>
        <v>1311.8</v>
      </c>
      <c r="HV11" vm="1906">
        <f ca="1"/>
        <v>1327.55</v>
      </c>
      <c r="HW11" vm="1907">
        <f ca="1"/>
        <v>1357.8</v>
      </c>
      <c r="HX11" vm="1908">
        <f ca="1"/>
        <v>1366.55</v>
      </c>
      <c r="HY11" vm="1909">
        <f ca="1"/>
        <v>1348.15</v>
      </c>
      <c r="HZ11" vm="1910">
        <f ca="1"/>
        <v>1362.7</v>
      </c>
      <c r="IA11" vm="1911">
        <f ca="1"/>
        <v>1367.7</v>
      </c>
      <c r="IB11" vm="1912">
        <f ca="1"/>
        <v>1371.65</v>
      </c>
      <c r="IC11" vm="1913">
        <f ca="1"/>
        <v>1390.65</v>
      </c>
      <c r="ID11" vm="1914">
        <f ca="1"/>
        <v>1386</v>
      </c>
      <c r="IE11" vm="1915">
        <f ca="1"/>
        <v>1426.15</v>
      </c>
      <c r="IF11" vm="1916">
        <f ca="1"/>
        <v>1436.5</v>
      </c>
      <c r="IG11" vm="1917">
        <f ca="1"/>
        <v>1424.3</v>
      </c>
      <c r="IH11" vm="1918">
        <f ca="1"/>
        <v>1433</v>
      </c>
      <c r="II11" vm="1919">
        <f ca="1"/>
        <v>1426.7</v>
      </c>
      <c r="IJ11" vm="1920">
        <f ca="1"/>
        <v>1434.45</v>
      </c>
      <c r="IK11" vm="1921">
        <f ca="1"/>
        <v>1419.25</v>
      </c>
      <c r="IL11" vm="1922">
        <f ca="1"/>
        <v>1433.4</v>
      </c>
      <c r="IM11" vm="1923">
        <f ca="1"/>
        <v>1432.6</v>
      </c>
      <c r="IN11" vm="1924">
        <f ca="1"/>
        <v>1441.95</v>
      </c>
      <c r="IO11" vm="1922">
        <f ca="1"/>
        <v>1433.4</v>
      </c>
      <c r="IP11" vm="1925">
        <f ca="1"/>
        <v>1421.2</v>
      </c>
      <c r="IQ11" vm="1926">
        <f ca="1"/>
        <v>1449.25</v>
      </c>
      <c r="IR11" vm="1927">
        <f ca="1"/>
        <v>1461.4</v>
      </c>
      <c r="IS11" vm="1928">
        <f ca="1"/>
        <v>1466.6</v>
      </c>
      <c r="IT11" vm="1929">
        <f ca="1"/>
        <v>1464.9</v>
      </c>
      <c r="IU11" vm="1930">
        <f ca="1"/>
        <v>1467.55</v>
      </c>
      <c r="IV11" vm="1931">
        <f ca="1"/>
        <v>1449.6</v>
      </c>
      <c r="IW11" vm="1932">
        <f ca="1"/>
        <v>1454.2</v>
      </c>
      <c r="IX11" vm="1933">
        <f ca="1"/>
        <v>1470.7</v>
      </c>
      <c r="IY11" vm="1934">
        <f ca="1"/>
        <v>1463.65</v>
      </c>
    </row>
    <row r="13" spans="1:259" ht="18" x14ac:dyDescent="0.35">
      <c r="A13" s="20" t="s">
        <v>44</v>
      </c>
      <c r="B13" s="10"/>
      <c r="C13" s="10"/>
      <c r="D13" s="10"/>
      <c r="E13" s="10"/>
      <c r="F13" s="10"/>
      <c r="G13" s="10"/>
      <c r="H13" s="10"/>
      <c r="I13" s="10"/>
      <c r="J13" s="10"/>
    </row>
    <row r="14" spans="1:259" ht="18" x14ac:dyDescent="0.35">
      <c r="A14" s="20" t="s">
        <v>34</v>
      </c>
      <c r="B14" s="20" t="s">
        <v>45</v>
      </c>
      <c r="C14" s="10"/>
      <c r="D14" s="10"/>
      <c r="E14" s="10"/>
      <c r="F14" s="10"/>
      <c r="G14" s="10" t="s">
        <v>46</v>
      </c>
      <c r="H14" s="10"/>
      <c r="I14" s="10"/>
      <c r="J14" s="10"/>
    </row>
    <row r="15" spans="1:259" x14ac:dyDescent="0.3">
      <c r="A15" t="str" cm="1">
        <f t="array" ref="A15:A21">_xlfn.UNIQUE(_xlfn.ANCHORARRAY(B5))</f>
        <v>Machinery, Equipment &amp; Components</v>
      </c>
      <c r="B15" cm="1">
        <f t="array" aca="1" ref="B15:B21" ca="1">SUMIF(_xlfn.ANCHORARRAY(B5),_xlfn.ANCHORARRAY(A15),_xlfn.ANCHORARRAY(G5))</f>
        <v>46975.5</v>
      </c>
      <c r="C15" s="19"/>
    </row>
    <row r="16" spans="1:259" x14ac:dyDescent="0.3">
      <c r="A16" t="str">
        <v>Freight &amp; Logistics Services</v>
      </c>
      <c r="B16">
        <f ca="1"/>
        <v>22485.75</v>
      </c>
    </row>
    <row r="17" spans="1:2" x14ac:dyDescent="0.3">
      <c r="A17" t="str">
        <v>Personal &amp; Household Products &amp; Services</v>
      </c>
      <c r="B17">
        <f ca="1"/>
        <v>31852.199999999997</v>
      </c>
    </row>
    <row r="18" spans="1:2" x14ac:dyDescent="0.3">
      <c r="A18" t="str">
        <v>Hotels &amp; Entertainment Services</v>
      </c>
      <c r="B18">
        <f ca="1"/>
        <v>10401.300000000001</v>
      </c>
    </row>
    <row r="19" spans="1:2" x14ac:dyDescent="0.3">
      <c r="A19" t="str">
        <v>Chemicals</v>
      </c>
      <c r="B19">
        <f ca="1"/>
        <v>50089.700000000004</v>
      </c>
    </row>
    <row r="20" spans="1:2" x14ac:dyDescent="0.3">
      <c r="A20" t="str">
        <v>Insurance</v>
      </c>
      <c r="B20">
        <f ca="1"/>
        <v>20424</v>
      </c>
    </row>
    <row r="21" spans="1:2" x14ac:dyDescent="0.3">
      <c r="A21" t="str">
        <v>Household Goods</v>
      </c>
      <c r="B21">
        <f ca="1"/>
        <v>52691.4</v>
      </c>
    </row>
  </sheetData>
  <conditionalFormatting sqref="B15:B21">
    <cfRule type="dataBar" priority="1">
      <dataBar>
        <cfvo type="min"/>
        <cfvo type="max"/>
        <color rgb="FF002060"/>
      </dataBar>
      <extLst>
        <ext xmlns:x14="http://schemas.microsoft.com/office/spreadsheetml/2009/9/main" uri="{B025F937-C7B1-47D3-B67F-A62EFF666E3E}">
          <x14:id>{6BB3A32A-DD84-4A3D-A264-09F10CE0FDE2}</x14:id>
        </ext>
      </extLst>
    </cfRule>
    <cfRule type="dataBar" priority="2">
      <dataBar>
        <cfvo type="min"/>
        <cfvo type="max"/>
        <color rgb="FF002060"/>
      </dataBar>
      <extLst>
        <ext xmlns:x14="http://schemas.microsoft.com/office/spreadsheetml/2009/9/main" uri="{B025F937-C7B1-47D3-B67F-A62EFF666E3E}">
          <x14:id>{FD69D1BE-D55D-45D2-9432-97B5D7C951FF}</x14:id>
        </ext>
      </extLst>
    </cfRule>
    <cfRule type="dataBar" priority="6">
      <dataBar>
        <cfvo type="min"/>
        <cfvo type="max"/>
        <color theme="1"/>
      </dataBar>
      <extLst>
        <ext xmlns:x14="http://schemas.microsoft.com/office/spreadsheetml/2009/9/main" uri="{B025F937-C7B1-47D3-B67F-A62EFF666E3E}">
          <x14:id>{CECE46DC-DF0A-4E4D-AB0A-E3033D5C2F14}</x14:id>
        </ext>
      </extLst>
    </cfRule>
  </conditionalFormatting>
  <conditionalFormatting sqref="G5:G10">
    <cfRule type="dataBar" priority="4">
      <dataBar>
        <cfvo type="min"/>
        <cfvo type="max"/>
        <color rgb="FF002060"/>
      </dataBar>
      <extLst>
        <ext xmlns:x14="http://schemas.microsoft.com/office/spreadsheetml/2009/9/main" uri="{B025F937-C7B1-47D3-B67F-A62EFF666E3E}">
          <x14:id>{A51B4350-4E61-4974-AA09-31FC0322F16E}</x14:id>
        </ext>
      </extLst>
    </cfRule>
  </conditionalFormatting>
  <conditionalFormatting sqref="G5:G11">
    <cfRule type="dataBar" priority="3">
      <dataBar>
        <cfvo type="min"/>
        <cfvo type="max"/>
        <color rgb="FF002060"/>
      </dataBar>
      <extLst>
        <ext xmlns:x14="http://schemas.microsoft.com/office/spreadsheetml/2009/9/main" uri="{B025F937-C7B1-47D3-B67F-A62EFF666E3E}">
          <x14:id>{D7C19704-5B7C-47DC-BB67-574B71268E22}</x14:id>
        </ext>
      </extLst>
    </cfRule>
    <cfRule type="dataBar" priority="5">
      <dataBar>
        <cfvo type="min"/>
        <cfvo type="max"/>
        <color theme="3"/>
      </dataBar>
      <extLst>
        <ext xmlns:x14="http://schemas.microsoft.com/office/spreadsheetml/2009/9/main" uri="{B025F937-C7B1-47D3-B67F-A62EFF666E3E}">
          <x14:id>{DD16902A-1F8C-48CD-ACA7-33217C193863}</x14:id>
        </ext>
      </extLst>
    </cfRule>
    <cfRule type="dataBar" priority="8">
      <dataBar>
        <cfvo type="min"/>
        <cfvo type="max"/>
        <color rgb="FF002060"/>
      </dataBar>
      <extLst>
        <ext xmlns:x14="http://schemas.microsoft.com/office/spreadsheetml/2009/9/main" uri="{B025F937-C7B1-47D3-B67F-A62EFF666E3E}">
          <x14:id>{31B7C72D-8968-444D-B5F3-A5FF2CE7D9B0}</x14:id>
        </ext>
      </extLst>
    </cfRule>
    <cfRule type="dataBar" priority="9">
      <dataBar>
        <cfvo type="min"/>
        <cfvo type="max"/>
        <color theme="1"/>
      </dataBar>
      <extLst>
        <ext xmlns:x14="http://schemas.microsoft.com/office/spreadsheetml/2009/9/main" uri="{B025F937-C7B1-47D3-B67F-A62EFF666E3E}">
          <x14:id>{113F90C3-8FD2-4239-8CC9-FFF12754F99F}</x14:id>
        </ext>
      </extLst>
    </cfRule>
    <cfRule type="dataBar" priority="10">
      <dataBar>
        <cfvo type="min"/>
        <cfvo type="max"/>
        <color rgb="FF638EC6"/>
      </dataBar>
      <extLst>
        <ext xmlns:x14="http://schemas.microsoft.com/office/spreadsheetml/2009/9/main" uri="{B025F937-C7B1-47D3-B67F-A62EFF666E3E}">
          <x14:id>{40A8B4EC-8E63-44FE-B732-6F6EE999381F}</x14:id>
        </ext>
      </extLst>
    </cfRule>
    <cfRule type="dataBar" priority="12">
      <dataBar>
        <cfvo type="min"/>
        <cfvo type="max"/>
        <color theme="1"/>
      </dataBar>
      <extLst>
        <ext xmlns:x14="http://schemas.microsoft.com/office/spreadsheetml/2009/9/main" uri="{B025F937-C7B1-47D3-B67F-A62EFF666E3E}">
          <x14:id>{13F79D23-BFB6-45C9-9416-DE5646F08AC9}</x14:id>
        </ext>
      </extLst>
    </cfRule>
    <cfRule type="dataBar" priority="13">
      <dataBar>
        <cfvo type="min"/>
        <cfvo type="max"/>
        <color rgb="FF638EC6"/>
      </dataBar>
      <extLst>
        <ext xmlns:x14="http://schemas.microsoft.com/office/spreadsheetml/2009/9/main" uri="{B025F937-C7B1-47D3-B67F-A62EFF666E3E}">
          <x14:id>{F7E4D111-AC05-4A82-A005-F2F5052558BD}</x14:id>
        </ext>
      </extLst>
    </cfRule>
  </conditionalFormatting>
  <pageMargins left="0.7" right="0.7" top="0.75" bottom="0.75" header="0.3" footer="0.3"/>
  <pageSetup orientation="portrait" r:id="rId1"/>
  <drawing r:id="rId2"/>
  <extLst>
    <ext xmlns:x14="http://schemas.microsoft.com/office/spreadsheetml/2009/9/main" uri="{78C0D931-6437-407d-A8EE-F0AAD7539E65}">
      <x14:conditionalFormattings>
        <x14:conditionalFormatting xmlns:xm="http://schemas.microsoft.com/office/excel/2006/main">
          <x14:cfRule type="dataBar" id="{6BB3A32A-DD84-4A3D-A264-09F10CE0FDE2}">
            <x14:dataBar minLength="0" maxLength="100">
              <x14:cfvo type="autoMin"/>
              <x14:cfvo type="autoMax"/>
              <x14:negativeFillColor rgb="FFFF0000"/>
              <x14:axisColor rgb="FF000000"/>
            </x14:dataBar>
          </x14:cfRule>
          <x14:cfRule type="dataBar" id="{FD69D1BE-D55D-45D2-9432-97B5D7C951FF}">
            <x14:dataBar minLength="0" maxLength="100" gradient="0">
              <x14:cfvo type="autoMin"/>
              <x14:cfvo type="autoMax"/>
              <x14:negativeFillColor rgb="FFFF0000"/>
              <x14:axisColor rgb="FF000000"/>
            </x14:dataBar>
          </x14:cfRule>
          <x14:cfRule type="dataBar" id="{CECE46DC-DF0A-4E4D-AB0A-E3033D5C2F14}">
            <x14:dataBar minLength="0" maxLength="100">
              <x14:cfvo type="autoMin"/>
              <x14:cfvo type="autoMax"/>
              <x14:negativeFillColor rgb="FFFF0000"/>
              <x14:axisColor rgb="FF000000"/>
            </x14:dataBar>
          </x14:cfRule>
          <xm:sqref>B15:B21</xm:sqref>
        </x14:conditionalFormatting>
        <x14:conditionalFormatting xmlns:xm="http://schemas.microsoft.com/office/excel/2006/main">
          <x14:cfRule type="iconSet" priority="14" id="{2DFB1260-3D21-41ED-B647-D760CF02E49E}">
            <x14:iconSet iconSet="3Triangles">
              <x14:cfvo type="percent">
                <xm:f>0</xm:f>
              </x14:cfvo>
              <x14:cfvo type="percent">
                <xm:f>33</xm:f>
              </x14:cfvo>
              <x14:cfvo type="percent">
                <xm:f>67</xm:f>
              </x14:cfvo>
            </x14:iconSet>
          </x14:cfRule>
          <xm:sqref>E2</xm:sqref>
        </x14:conditionalFormatting>
        <x14:conditionalFormatting xmlns:xm="http://schemas.microsoft.com/office/excel/2006/main">
          <x14:cfRule type="iconSet" priority="7" id="{248BA30B-1242-4650-B2AD-2F342567B0C2}">
            <x14:iconSet iconSet="3Triangles">
              <x14:cfvo type="percent">
                <xm:f>0</xm:f>
              </x14:cfvo>
              <x14:cfvo type="num">
                <xm:f>0</xm:f>
              </x14:cfvo>
              <x14:cfvo type="num">
                <xm:f>0</xm:f>
              </x14:cfvo>
            </x14:iconSet>
          </x14:cfRule>
          <xm:sqref>F2</xm:sqref>
        </x14:conditionalFormatting>
        <x14:conditionalFormatting xmlns:xm="http://schemas.microsoft.com/office/excel/2006/main">
          <x14:cfRule type="dataBar" id="{A51B4350-4E61-4974-AA09-31FC0322F16E}">
            <x14:dataBar minLength="0" maxLength="100" gradient="0">
              <x14:cfvo type="autoMin"/>
              <x14:cfvo type="autoMax"/>
              <x14:negativeFillColor rgb="FFFF0000"/>
              <x14:axisColor rgb="FF000000"/>
            </x14:dataBar>
          </x14:cfRule>
          <xm:sqref>G5:G10</xm:sqref>
        </x14:conditionalFormatting>
        <x14:conditionalFormatting xmlns:xm="http://schemas.microsoft.com/office/excel/2006/main">
          <x14:cfRule type="dataBar" id="{D7C19704-5B7C-47DC-BB67-574B71268E22}">
            <x14:dataBar minLength="0" maxLength="100">
              <x14:cfvo type="autoMin"/>
              <x14:cfvo type="autoMax"/>
              <x14:negativeFillColor rgb="FFFF0000"/>
              <x14:axisColor rgb="FF000000"/>
            </x14:dataBar>
          </x14:cfRule>
          <x14:cfRule type="dataBar" id="{DD16902A-1F8C-48CD-ACA7-33217C193863}">
            <x14:dataBar minLength="0" maxLength="100">
              <x14:cfvo type="autoMin"/>
              <x14:cfvo type="autoMax"/>
              <x14:negativeFillColor rgb="FFFF0000"/>
              <x14:axisColor rgb="FF000000"/>
            </x14:dataBar>
          </x14:cfRule>
          <x14:cfRule type="dataBar" id="{31B7C72D-8968-444D-B5F3-A5FF2CE7D9B0}">
            <x14:dataBar minLength="0" maxLength="100">
              <x14:cfvo type="autoMin"/>
              <x14:cfvo type="autoMax"/>
              <x14:negativeFillColor rgb="FFFF0000"/>
              <x14:axisColor rgb="FF000000"/>
            </x14:dataBar>
          </x14:cfRule>
          <x14:cfRule type="dataBar" id="{113F90C3-8FD2-4239-8CC9-FFF12754F99F}">
            <x14:dataBar minLength="0" maxLength="100" gradient="0">
              <x14:cfvo type="autoMin"/>
              <x14:cfvo type="autoMax"/>
              <x14:negativeFillColor rgb="FFFF0000"/>
              <x14:axisColor rgb="FF000000"/>
            </x14:dataBar>
          </x14:cfRule>
          <x14:cfRule type="dataBar" id="{40A8B4EC-8E63-44FE-B732-6F6EE999381F}">
            <x14:dataBar minLength="0" maxLength="100" border="1" negativeBarBorderColorSameAsPositive="0">
              <x14:cfvo type="autoMin"/>
              <x14:cfvo type="autoMax"/>
              <x14:borderColor rgb="FF638EC6"/>
              <x14:negativeFillColor rgb="FFFF0000"/>
              <x14:negativeBorderColor rgb="FFFF0000"/>
              <x14:axisColor rgb="FF000000"/>
            </x14:dataBar>
          </x14:cfRule>
          <x14:cfRule type="dataBar" id="{13F79D23-BFB6-45C9-9416-DE5646F08AC9}">
            <x14:dataBar minLength="0" maxLength="100" gradient="0">
              <x14:cfvo type="autoMin"/>
              <x14:cfvo type="autoMax"/>
              <x14:negativeFillColor rgb="FFFF0000"/>
              <x14:axisColor rgb="FF000000"/>
            </x14:dataBar>
          </x14:cfRule>
          <x14:cfRule type="dataBar" id="{F7E4D111-AC05-4A82-A005-F2F5052558BD}">
            <x14:dataBar minLength="0" maxLength="100" border="1" negativeBarBorderColorSameAsPositive="0">
              <x14:cfvo type="autoMin"/>
              <x14:cfvo type="autoMax"/>
              <x14:borderColor rgb="FF638EC6"/>
              <x14:negativeFillColor rgb="FFFF0000"/>
              <x14:negativeBorderColor rgb="FFFF0000"/>
              <x14:axisColor rgb="FF000000"/>
            </x14:dataBar>
          </x14:cfRule>
          <xm:sqref>G5:G11</xm:sqref>
        </x14:conditionalFormatting>
        <x14:conditionalFormatting xmlns:xm="http://schemas.microsoft.com/office/excel/2006/main">
          <x14:cfRule type="iconSet" priority="15" id="{080B48DD-EFF2-44ED-BEE2-71217E80012B}">
            <x14:iconSet iconSet="3Triangles">
              <x14:cfvo type="percent">
                <xm:f>0</xm:f>
              </x14:cfvo>
              <x14:cfvo type="percent">
                <xm:f>33</xm:f>
              </x14:cfvo>
              <x14:cfvo type="percent">
                <xm:f>67</xm:f>
              </x14:cfvo>
            </x14:iconSet>
          </x14:cfRule>
          <xm:sqref>H5:H11</xm:sqref>
        </x14:conditionalFormatting>
      </x14:conditionalFormattings>
    </ext>
    <ext xmlns:x14="http://schemas.microsoft.com/office/spreadsheetml/2009/9/main" uri="{05C60535-1F16-4fd2-B633-F4F36F0B64E0}">
      <x14:sparklineGroups xmlns:xm="http://schemas.microsoft.com/office/excel/2006/main">
        <x14:sparklineGroup displayEmptyCellsAs="gap" xr2:uid="{84E20CA8-0FDB-45A4-9765-7CDDAF41B5D9}">
          <x14:colorSeries rgb="FF376092"/>
          <x14:colorNegative rgb="FFD00000"/>
          <x14:colorAxis rgb="FF000000"/>
          <x14:colorMarkers rgb="FFD00000"/>
          <x14:colorFirst rgb="FFD00000"/>
          <x14:colorLast rgb="FFD00000"/>
          <x14:colorHigh rgb="FFD00000"/>
          <x14:colorLow rgb="FFD00000"/>
          <x14:sparklines>
            <x14:sparkline>
              <xm:f>Dashboard!L5:JA5</xm:f>
              <xm:sqref>J5</xm:sqref>
            </x14:sparkline>
            <x14:sparkline>
              <xm:f>Dashboard!L6:JA6</xm:f>
              <xm:sqref>J6</xm:sqref>
            </x14:sparkline>
            <x14:sparkline>
              <xm:f>Dashboard!L7:JA7</xm:f>
              <xm:sqref>J7</xm:sqref>
            </x14:sparkline>
            <x14:sparkline>
              <xm:f>Dashboard!L8:JA8</xm:f>
              <xm:sqref>J8</xm:sqref>
            </x14:sparkline>
            <x14:sparkline>
              <xm:f>Dashboard!L9:JA9</xm:f>
              <xm:sqref>J9</xm:sqref>
            </x14:sparkline>
            <x14:sparkline>
              <xm:f>Dashboard!L10:JA10</xm:f>
              <xm:sqref>J10</xm:sqref>
            </x14:sparkline>
            <x14:sparkline>
              <xm:f>Dashboard!L11:JA11</xm:f>
              <xm:sqref>J11</xm:sqref>
            </x14:sparkline>
          </x14:sparklines>
        </x14:sparklineGroup>
      </x14:sparklineGroup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C202D4-0622-42FB-B456-EDC2D59196E8}">
  <dimension ref="A1:IP28"/>
  <sheetViews>
    <sheetView topLeftCell="HV1" workbookViewId="0">
      <selection activeCell="IB14" sqref="IB14"/>
    </sheetView>
  </sheetViews>
  <sheetFormatPr defaultRowHeight="14.4" x14ac:dyDescent="0.3"/>
  <cols>
    <col min="2" max="2" width="34.44140625" bestFit="1" customWidth="1"/>
  </cols>
  <sheetData>
    <row r="1" spans="1:250" x14ac:dyDescent="0.3">
      <c r="A1" s="21" t="s">
        <v>47</v>
      </c>
      <c r="B1" t="s">
        <v>57</v>
      </c>
    </row>
    <row r="3" spans="1:250" x14ac:dyDescent="0.3">
      <c r="A3" s="21" t="s">
        <v>55</v>
      </c>
      <c r="B3" s="21" t="s">
        <v>48</v>
      </c>
    </row>
    <row r="4" spans="1:250" x14ac:dyDescent="0.3">
      <c r="A4" t="s">
        <v>54</v>
      </c>
      <c r="B4" t="s">
        <v>14</v>
      </c>
      <c r="C4" cm="1" vm="1935">
        <f t="array" aca="1" ref="C4:IP4" ca="1">TRANSPOSE(_xlfn.STOCKHISTORY(A4&amp;":"&amp;B4,TODAY()-365, TODAY(),0,0,1))</f>
        <v>505.15</v>
      </c>
      <c r="D4" vm="1936">
        <f ca="1"/>
        <v>509.75</v>
      </c>
      <c r="E4" vm="1937">
        <f ca="1"/>
        <v>515.70000000000005</v>
      </c>
      <c r="F4" vm="1938">
        <f ca="1"/>
        <v>512.1</v>
      </c>
      <c r="G4" vm="1939">
        <f ca="1"/>
        <v>501.2</v>
      </c>
      <c r="H4" vm="1940">
        <f ca="1"/>
        <v>495.95</v>
      </c>
      <c r="I4" vm="1091">
        <f ca="1"/>
        <v>511.25</v>
      </c>
      <c r="J4" vm="1941">
        <f ca="1"/>
        <v>525</v>
      </c>
      <c r="K4" vm="1942">
        <f ca="1"/>
        <v>530.70000000000005</v>
      </c>
      <c r="L4" vm="1943">
        <f ca="1"/>
        <v>542.95000000000005</v>
      </c>
      <c r="M4" vm="1944">
        <f ca="1"/>
        <v>543.54999999999995</v>
      </c>
      <c r="N4" vm="1945">
        <f ca="1"/>
        <v>543.9</v>
      </c>
      <c r="O4" vm="1946">
        <f ca="1"/>
        <v>545.4</v>
      </c>
      <c r="P4" vm="1947">
        <f ca="1"/>
        <v>543.45000000000005</v>
      </c>
      <c r="Q4" vm="1948">
        <f ca="1"/>
        <v>545.29999999999995</v>
      </c>
      <c r="R4" vm="1949">
        <f ca="1"/>
        <v>549.25</v>
      </c>
      <c r="S4" vm="1950">
        <f ca="1"/>
        <v>548.35</v>
      </c>
      <c r="T4" vm="1951">
        <f ca="1"/>
        <v>550.1</v>
      </c>
      <c r="U4" vm="1952">
        <f ca="1"/>
        <v>549.45000000000005</v>
      </c>
      <c r="V4" vm="1953">
        <f ca="1"/>
        <v>558.25</v>
      </c>
      <c r="W4" vm="1954">
        <f ca="1"/>
        <v>571.95000000000005</v>
      </c>
      <c r="X4" vm="1955">
        <f ca="1"/>
        <v>576.29999999999995</v>
      </c>
      <c r="Y4" vm="1956">
        <f ca="1"/>
        <v>567.9</v>
      </c>
      <c r="Z4" vm="1953">
        <f ca="1"/>
        <v>558.25</v>
      </c>
      <c r="AA4" vm="1957">
        <f ca="1"/>
        <v>567.75</v>
      </c>
      <c r="AB4" vm="1958">
        <f ca="1"/>
        <v>572.70000000000005</v>
      </c>
      <c r="AC4" vm="1959">
        <f ca="1"/>
        <v>584.1</v>
      </c>
      <c r="AD4" vm="1960">
        <f ca="1"/>
        <v>580.79999999999995</v>
      </c>
      <c r="AE4" vm="1961">
        <f ca="1"/>
        <v>578.25</v>
      </c>
      <c r="AF4" vm="1962">
        <f ca="1"/>
        <v>569.79999999999995</v>
      </c>
      <c r="AG4" vm="1963">
        <f ca="1"/>
        <v>573.9</v>
      </c>
      <c r="AH4" vm="1014">
        <f ca="1"/>
        <v>579.15</v>
      </c>
      <c r="AI4" vm="1964">
        <f ca="1"/>
        <v>586.5</v>
      </c>
      <c r="AJ4" vm="1965">
        <f ca="1"/>
        <v>584.95000000000005</v>
      </c>
      <c r="AK4" vm="1966">
        <f ca="1"/>
        <v>582.70000000000005</v>
      </c>
      <c r="AL4" vm="1967">
        <f ca="1"/>
        <v>581.6</v>
      </c>
      <c r="AM4" vm="1968">
        <f ca="1"/>
        <v>579.6</v>
      </c>
      <c r="AN4" vm="1965">
        <f ca="1"/>
        <v>584.95000000000005</v>
      </c>
      <c r="AO4" vm="673">
        <f ca="1"/>
        <v>594.6</v>
      </c>
      <c r="AP4" vm="1969">
        <f ca="1"/>
        <v>587.20000000000005</v>
      </c>
      <c r="AQ4" vm="1970">
        <f ca="1"/>
        <v>584.20000000000005</v>
      </c>
      <c r="AR4" vm="1971">
        <f ca="1"/>
        <v>588.1</v>
      </c>
      <c r="AS4" vm="1972">
        <f ca="1"/>
        <v>587.1</v>
      </c>
      <c r="AT4" vm="1973">
        <f ca="1"/>
        <v>579.70000000000005</v>
      </c>
      <c r="AU4" vm="1974">
        <f ca="1"/>
        <v>572</v>
      </c>
      <c r="AV4" vm="1975">
        <f ca="1"/>
        <v>573.04999999999995</v>
      </c>
      <c r="AW4" vm="1976">
        <f ca="1"/>
        <v>583.6</v>
      </c>
      <c r="AX4" vm="1977">
        <f ca="1"/>
        <v>569.6</v>
      </c>
      <c r="AY4" vm="1978">
        <f ca="1"/>
        <v>570.70000000000005</v>
      </c>
      <c r="AZ4" vm="1979">
        <f ca="1"/>
        <v>570.1</v>
      </c>
      <c r="BA4" vm="1980">
        <f ca="1"/>
        <v>571</v>
      </c>
      <c r="BB4" vm="1981">
        <f ca="1"/>
        <v>572.35</v>
      </c>
      <c r="BC4" vm="1982">
        <f ca="1"/>
        <v>570.4</v>
      </c>
      <c r="BD4" vm="1983">
        <f ca="1"/>
        <v>574.9</v>
      </c>
      <c r="BE4" vm="1982">
        <f ca="1"/>
        <v>570.4</v>
      </c>
      <c r="BF4" vm="1980">
        <f ca="1"/>
        <v>571</v>
      </c>
      <c r="BG4" vm="1984">
        <f ca="1"/>
        <v>567</v>
      </c>
      <c r="BH4" vm="1985">
        <f ca="1"/>
        <v>563.45000000000005</v>
      </c>
      <c r="BI4" vm="1986">
        <f ca="1"/>
        <v>546.4</v>
      </c>
      <c r="BJ4" vm="1987">
        <f ca="1"/>
        <v>548.15</v>
      </c>
      <c r="BK4" vm="1988">
        <f ca="1"/>
        <v>556.79999999999995</v>
      </c>
      <c r="BL4" vm="1989">
        <f ca="1"/>
        <v>561.5</v>
      </c>
      <c r="BM4" vm="1003">
        <f ca="1"/>
        <v>575.65</v>
      </c>
      <c r="BN4" vm="1990">
        <f ca="1"/>
        <v>568.54999999999995</v>
      </c>
      <c r="BO4" vm="1991">
        <f ca="1"/>
        <v>556.20000000000005</v>
      </c>
      <c r="BP4" vm="1992">
        <f ca="1"/>
        <v>560.5</v>
      </c>
      <c r="BQ4" vm="1993">
        <f ca="1"/>
        <v>564.04999999999995</v>
      </c>
      <c r="BR4" vm="1994">
        <f ca="1"/>
        <v>575.75</v>
      </c>
      <c r="BS4" vm="1995">
        <f ca="1"/>
        <v>572.95000000000005</v>
      </c>
      <c r="BT4" vm="1996">
        <f ca="1"/>
        <v>557.15</v>
      </c>
      <c r="BU4" vm="1997">
        <f ca="1"/>
        <v>553.79999999999995</v>
      </c>
      <c r="BV4" vm="1986">
        <f ca="1"/>
        <v>546.4</v>
      </c>
      <c r="BW4" vm="1998">
        <f ca="1"/>
        <v>540.15</v>
      </c>
      <c r="BX4" vm="1999">
        <f ca="1"/>
        <v>529.1</v>
      </c>
      <c r="BY4" vm="2000">
        <f ca="1"/>
        <v>518.95000000000005</v>
      </c>
      <c r="BZ4" vm="975">
        <f ca="1"/>
        <v>533.6</v>
      </c>
      <c r="CA4" vm="2001">
        <f ca="1"/>
        <v>530</v>
      </c>
      <c r="CB4" vm="2002">
        <f ca="1"/>
        <v>531.35</v>
      </c>
      <c r="CC4" vm="2003">
        <f ca="1"/>
        <v>529.95000000000005</v>
      </c>
      <c r="CD4" vm="2002">
        <f ca="1"/>
        <v>531.35</v>
      </c>
      <c r="CE4" vm="2004">
        <f ca="1"/>
        <v>526.1</v>
      </c>
      <c r="CF4" vm="2005">
        <f ca="1"/>
        <v>535.95000000000005</v>
      </c>
      <c r="CG4" vm="2006">
        <f ca="1"/>
        <v>537.95000000000005</v>
      </c>
      <c r="CH4" vm="1080">
        <f ca="1"/>
        <v>536.85</v>
      </c>
      <c r="CI4" vm="2007">
        <f ca="1"/>
        <v>532.15</v>
      </c>
      <c r="CJ4" vm="2008">
        <f ca="1"/>
        <v>549.04999999999995</v>
      </c>
      <c r="CK4" vm="1066">
        <f ca="1"/>
        <v>551.04999999999995</v>
      </c>
      <c r="CL4" vm="2009">
        <f ca="1"/>
        <v>554.70000000000005</v>
      </c>
      <c r="CM4" vm="2010">
        <f ca="1"/>
        <v>563.79999999999995</v>
      </c>
      <c r="CN4" vm="2011">
        <f ca="1"/>
        <v>562.25</v>
      </c>
      <c r="CO4" vm="2012">
        <f ca="1"/>
        <v>555.9</v>
      </c>
      <c r="CP4" vm="2013">
        <f ca="1"/>
        <v>557.5</v>
      </c>
      <c r="CQ4" vm="2014">
        <f ca="1"/>
        <v>553.6</v>
      </c>
      <c r="CR4" vm="2015">
        <f ca="1"/>
        <v>554.15</v>
      </c>
      <c r="CS4" vm="2016">
        <f ca="1"/>
        <v>553.9</v>
      </c>
      <c r="CT4" vm="2017">
        <f ca="1"/>
        <v>553.1</v>
      </c>
      <c r="CU4" vm="2018">
        <f ca="1"/>
        <v>553.20000000000005</v>
      </c>
      <c r="CV4" vm="2019">
        <f ca="1"/>
        <v>550.75</v>
      </c>
      <c r="CW4" vm="2020">
        <f ca="1"/>
        <v>550.04999999999995</v>
      </c>
      <c r="CX4" vm="2021">
        <f ca="1"/>
        <v>551.9</v>
      </c>
      <c r="CY4" vm="2022">
        <f ca="1"/>
        <v>548.5</v>
      </c>
      <c r="CZ4" vm="2023">
        <f ca="1"/>
        <v>550.79999999999995</v>
      </c>
      <c r="DA4" vm="2024">
        <f ca="1"/>
        <v>546.45000000000005</v>
      </c>
      <c r="DB4" vm="2025">
        <f ca="1"/>
        <v>551.4</v>
      </c>
      <c r="DC4" vm="2014">
        <f ca="1"/>
        <v>553.6</v>
      </c>
      <c r="DD4" vm="2026">
        <f ca="1"/>
        <v>556.54999999999995</v>
      </c>
      <c r="DE4" vm="2027">
        <f ca="1"/>
        <v>558.6</v>
      </c>
      <c r="DF4" vm="2028">
        <f ca="1"/>
        <v>593.1</v>
      </c>
      <c r="DG4" vm="2029">
        <f ca="1"/>
        <v>588.35</v>
      </c>
      <c r="DH4" vm="2030">
        <f ca="1"/>
        <v>586.79999999999995</v>
      </c>
      <c r="DI4" vm="2031">
        <f ca="1"/>
        <v>591.15</v>
      </c>
      <c r="DJ4" vm="1972">
        <f ca="1"/>
        <v>587.1</v>
      </c>
      <c r="DK4" vm="2032">
        <f ca="1"/>
        <v>592.6</v>
      </c>
      <c r="DL4" vm="665">
        <f ca="1"/>
        <v>602.25</v>
      </c>
      <c r="DM4" vm="2033">
        <f ca="1"/>
        <v>604.4</v>
      </c>
      <c r="DN4" vm="2034">
        <f ca="1"/>
        <v>598.75</v>
      </c>
      <c r="DO4" vm="2035">
        <f ca="1"/>
        <v>602.45000000000005</v>
      </c>
      <c r="DP4" vm="1053">
        <f ca="1"/>
        <v>594.20000000000005</v>
      </c>
      <c r="DQ4" vm="1972">
        <f ca="1"/>
        <v>587.1</v>
      </c>
      <c r="DR4" vm="658">
        <f ca="1"/>
        <v>586.9</v>
      </c>
      <c r="DS4" vm="2036">
        <f ca="1"/>
        <v>579.75</v>
      </c>
      <c r="DT4" vm="2037">
        <f ca="1"/>
        <v>589.04999999999995</v>
      </c>
      <c r="DU4" vm="2038">
        <f ca="1"/>
        <v>579.5</v>
      </c>
      <c r="DV4" vm="2039">
        <f ca="1"/>
        <v>577.25</v>
      </c>
      <c r="DW4" vm="2040">
        <f ca="1"/>
        <v>577.75</v>
      </c>
      <c r="DX4" vm="2041">
        <f ca="1"/>
        <v>565.85</v>
      </c>
      <c r="DY4" vm="2042">
        <f ca="1"/>
        <v>566.1</v>
      </c>
      <c r="DZ4" vm="2043">
        <f ca="1"/>
        <v>573.5</v>
      </c>
      <c r="EA4" vm="2044">
        <f ca="1"/>
        <v>569.15</v>
      </c>
      <c r="EB4" vm="2045">
        <f ca="1"/>
        <v>560.95000000000005</v>
      </c>
      <c r="EC4" vm="2046">
        <f ca="1"/>
        <v>561.45000000000005</v>
      </c>
      <c r="ED4" vm="2047">
        <f ca="1"/>
        <v>561.54999999999995</v>
      </c>
      <c r="EE4" vm="2048">
        <f ca="1"/>
        <v>560.85</v>
      </c>
      <c r="EF4" vm="2049">
        <f ca="1"/>
        <v>559.85</v>
      </c>
      <c r="EG4" vm="2050">
        <f ca="1"/>
        <v>572.75</v>
      </c>
      <c r="EH4" vm="2051">
        <f ca="1"/>
        <v>552.85</v>
      </c>
      <c r="EI4" vm="2052">
        <f ca="1"/>
        <v>549.54999999999995</v>
      </c>
      <c r="EJ4" vm="2053">
        <f ca="1"/>
        <v>554.6</v>
      </c>
      <c r="EK4" vm="1950">
        <f ca="1"/>
        <v>548.35</v>
      </c>
      <c r="EL4" vm="2054">
        <f ca="1"/>
        <v>544.95000000000005</v>
      </c>
      <c r="EM4" vm="2055">
        <f ca="1"/>
        <v>543.70000000000005</v>
      </c>
      <c r="EN4" vm="1072">
        <f ca="1"/>
        <v>553.04999999999995</v>
      </c>
      <c r="EO4" vm="2026">
        <f ca="1"/>
        <v>556.54999999999995</v>
      </c>
      <c r="EP4" vm="2056">
        <f ca="1"/>
        <v>557.6</v>
      </c>
      <c r="EQ4" vm="2057">
        <f ca="1"/>
        <v>554.95000000000005</v>
      </c>
      <c r="ER4" vm="2058">
        <f ca="1"/>
        <v>566</v>
      </c>
      <c r="ES4" vm="2059">
        <f ca="1"/>
        <v>564.4</v>
      </c>
      <c r="ET4" vm="2060">
        <f ca="1"/>
        <v>566.95000000000005</v>
      </c>
      <c r="EU4" vm="2061">
        <f ca="1"/>
        <v>563.29999999999995</v>
      </c>
      <c r="EV4" vm="2062">
        <f ca="1"/>
        <v>562.04999999999995</v>
      </c>
      <c r="EW4" vm="2063">
        <f ca="1"/>
        <v>558.04999999999995</v>
      </c>
      <c r="EX4" vm="2064">
        <f ca="1"/>
        <v>557.75</v>
      </c>
      <c r="EY4" vm="2065">
        <f ca="1"/>
        <v>561.95000000000005</v>
      </c>
      <c r="EZ4" vm="2066">
        <f ca="1"/>
        <v>554.45000000000005</v>
      </c>
      <c r="FA4" vm="2067">
        <f ca="1"/>
        <v>533.70000000000005</v>
      </c>
      <c r="FB4" vm="2068">
        <f ca="1"/>
        <v>544.70000000000005</v>
      </c>
      <c r="FC4" vm="1081">
        <f ca="1"/>
        <v>535.65</v>
      </c>
      <c r="FD4" vm="2069">
        <f ca="1"/>
        <v>533.95000000000005</v>
      </c>
      <c r="FE4" vm="2070">
        <f ca="1"/>
        <v>533.25</v>
      </c>
      <c r="FF4" vm="2071">
        <f ca="1"/>
        <v>532.4</v>
      </c>
      <c r="FG4" vm="2072">
        <f ca="1"/>
        <v>534.45000000000005</v>
      </c>
      <c r="FH4" vm="2001">
        <f ca="1"/>
        <v>530</v>
      </c>
      <c r="FI4" vm="2073">
        <f ca="1"/>
        <v>534.85</v>
      </c>
      <c r="FJ4" vm="2074">
        <f ca="1"/>
        <v>535.6</v>
      </c>
      <c r="FK4" vm="2075">
        <f ca="1"/>
        <v>534.5</v>
      </c>
      <c r="FL4" vm="2076">
        <f ca="1"/>
        <v>535</v>
      </c>
      <c r="FM4" vm="2077">
        <f ca="1"/>
        <v>535.15</v>
      </c>
      <c r="FN4" vm="2078">
        <f ca="1"/>
        <v>533.20000000000005</v>
      </c>
      <c r="FO4" vm="2079">
        <f ca="1"/>
        <v>539.75</v>
      </c>
      <c r="FP4" vm="2080">
        <f ca="1"/>
        <v>534.9</v>
      </c>
      <c r="FQ4" vm="2081">
        <f ca="1"/>
        <v>526.20000000000005</v>
      </c>
      <c r="FR4" vm="2082">
        <f ca="1"/>
        <v>532.6</v>
      </c>
      <c r="FS4" vm="2083">
        <f ca="1"/>
        <v>527.25</v>
      </c>
      <c r="FT4" vm="2084">
        <f ca="1"/>
        <v>530.1</v>
      </c>
      <c r="FU4" vm="2085">
        <f ca="1"/>
        <v>534.79999999999995</v>
      </c>
      <c r="FV4" vm="2086">
        <f ca="1"/>
        <v>537</v>
      </c>
      <c r="FW4" vm="2087">
        <f ca="1"/>
        <v>531.85</v>
      </c>
      <c r="FX4" vm="2088">
        <f ca="1"/>
        <v>526.65</v>
      </c>
      <c r="FY4" vm="2003">
        <f ca="1"/>
        <v>529.95000000000005</v>
      </c>
      <c r="FZ4" vm="2089">
        <f ca="1"/>
        <v>523.54999999999995</v>
      </c>
      <c r="GA4" vm="2090">
        <f ca="1"/>
        <v>526.5</v>
      </c>
      <c r="GB4" vm="2091">
        <f ca="1"/>
        <v>521.85</v>
      </c>
      <c r="GC4" vm="2075">
        <f ca="1"/>
        <v>534.5</v>
      </c>
      <c r="GD4" vm="2092">
        <f ca="1"/>
        <v>536.15</v>
      </c>
      <c r="GE4" vm="2093">
        <f ca="1"/>
        <v>537.1</v>
      </c>
      <c r="GF4" vm="2094">
        <f ca="1"/>
        <v>532.29999999999995</v>
      </c>
      <c r="GG4" vm="1998">
        <f ca="1"/>
        <v>540.15</v>
      </c>
      <c r="GH4" vm="2095">
        <f ca="1"/>
        <v>539.4</v>
      </c>
      <c r="GI4" vm="2096">
        <f ca="1"/>
        <v>536.4</v>
      </c>
      <c r="GJ4" vm="980">
        <f ca="1"/>
        <v>541.45000000000005</v>
      </c>
      <c r="GK4" vm="1090">
        <f ca="1"/>
        <v>533.79999999999995</v>
      </c>
      <c r="GL4" vm="1081">
        <f ca="1"/>
        <v>535.65</v>
      </c>
      <c r="GM4" vm="2097">
        <f ca="1"/>
        <v>544.9</v>
      </c>
      <c r="GN4" vm="2098">
        <f ca="1"/>
        <v>547.6</v>
      </c>
      <c r="GO4" vm="2099">
        <f ca="1"/>
        <v>548.04999999999995</v>
      </c>
      <c r="GP4" vm="2100">
        <f ca="1"/>
        <v>525.9</v>
      </c>
      <c r="GQ4" vm="2101">
        <f ca="1"/>
        <v>523.20000000000005</v>
      </c>
      <c r="GR4" vm="2091">
        <f ca="1"/>
        <v>521.85</v>
      </c>
      <c r="GS4" vm="2102">
        <f ca="1"/>
        <v>517.65</v>
      </c>
      <c r="GT4" vm="2103">
        <f ca="1"/>
        <v>527.15</v>
      </c>
      <c r="GU4" vm="2104">
        <f ca="1"/>
        <v>524.1</v>
      </c>
      <c r="GV4" vm="2105">
        <f ca="1"/>
        <v>520.9</v>
      </c>
      <c r="GW4" vm="2106">
        <f ca="1"/>
        <v>520.04999999999995</v>
      </c>
      <c r="GX4" vm="2107">
        <f ca="1"/>
        <v>525.29999999999995</v>
      </c>
      <c r="GY4" vm="2108">
        <f ca="1"/>
        <v>525.15</v>
      </c>
      <c r="GZ4" vm="2109">
        <f ca="1"/>
        <v>524.85</v>
      </c>
      <c r="HA4" vm="2110">
        <f ca="1"/>
        <v>526.4</v>
      </c>
      <c r="HB4" vm="2111">
        <f ca="1"/>
        <v>533.65</v>
      </c>
      <c r="HC4" vm="2112">
        <f ca="1"/>
        <v>530.4</v>
      </c>
      <c r="HD4" vm="2113">
        <f ca="1"/>
        <v>532.9</v>
      </c>
      <c r="HE4" vm="2114">
        <f ca="1"/>
        <v>536.45000000000005</v>
      </c>
      <c r="HF4" vm="2006">
        <f ca="1"/>
        <v>537.95000000000005</v>
      </c>
      <c r="HG4" vm="2112">
        <f ca="1"/>
        <v>530.4</v>
      </c>
      <c r="HH4" vm="2115">
        <f ca="1"/>
        <v>505</v>
      </c>
      <c r="HI4" vm="2116">
        <f ca="1"/>
        <v>513.9</v>
      </c>
      <c r="HJ4" vm="2117">
        <f ca="1"/>
        <v>517.9</v>
      </c>
      <c r="HK4" vm="2118">
        <f ca="1"/>
        <v>514.29999999999995</v>
      </c>
      <c r="HL4" vm="1086">
        <f ca="1"/>
        <v>520.20000000000005</v>
      </c>
      <c r="HM4" vm="2119">
        <f ca="1"/>
        <v>518.35</v>
      </c>
      <c r="HN4" vm="2120">
        <f ca="1"/>
        <v>533.04999999999995</v>
      </c>
      <c r="HO4" vm="2121">
        <f ca="1"/>
        <v>530.75</v>
      </c>
      <c r="HP4" vm="2122">
        <f ca="1"/>
        <v>523.95000000000005</v>
      </c>
      <c r="HQ4" vm="2123">
        <f ca="1"/>
        <v>523.45000000000005</v>
      </c>
      <c r="HR4" vm="2124">
        <f ca="1"/>
        <v>519.1</v>
      </c>
      <c r="HS4" vm="2125">
        <f ca="1"/>
        <v>522.25</v>
      </c>
      <c r="HT4" vm="2126">
        <f ca="1"/>
        <v>525.75</v>
      </c>
      <c r="HU4" vm="2127">
        <f ca="1"/>
        <v>526.70000000000005</v>
      </c>
      <c r="HV4" vm="2128">
        <f ca="1"/>
        <v>530.15</v>
      </c>
      <c r="HW4" vm="2129">
        <f ca="1"/>
        <v>542.1</v>
      </c>
      <c r="HX4" vm="1950">
        <f ca="1"/>
        <v>548.35</v>
      </c>
      <c r="HY4" vm="1070">
        <f ca="1"/>
        <v>549.9</v>
      </c>
      <c r="HZ4" vm="2130">
        <f ca="1"/>
        <v>555.4</v>
      </c>
      <c r="IA4" vm="2131">
        <f ca="1"/>
        <v>556.9</v>
      </c>
      <c r="IB4" vm="2132">
        <f ca="1"/>
        <v>557.20000000000005</v>
      </c>
      <c r="IC4" vm="2133">
        <f ca="1"/>
        <v>552.25</v>
      </c>
      <c r="ID4" vm="2134">
        <f ca="1"/>
        <v>547.5</v>
      </c>
      <c r="IE4" vm="2135">
        <f ca="1"/>
        <v>556.5</v>
      </c>
      <c r="IF4" vm="2136">
        <f ca="1"/>
        <v>552.1</v>
      </c>
      <c r="IG4" vm="2137">
        <f ca="1"/>
        <v>549.95000000000005</v>
      </c>
      <c r="IH4" vm="2014">
        <f ca="1"/>
        <v>553.6</v>
      </c>
      <c r="II4" vm="2138">
        <f ca="1"/>
        <v>560.45000000000005</v>
      </c>
      <c r="IJ4" vm="2139">
        <f ca="1"/>
        <v>562.35</v>
      </c>
      <c r="IK4" vm="2140">
        <f ca="1"/>
        <v>569.04999999999995</v>
      </c>
      <c r="IL4" vm="2141">
        <f ca="1"/>
        <v>570.9</v>
      </c>
      <c r="IM4" vm="2044">
        <f ca="1"/>
        <v>569.15</v>
      </c>
      <c r="IN4" vm="2142">
        <f ca="1"/>
        <v>572.1</v>
      </c>
      <c r="IO4" vm="2143">
        <f ca="1"/>
        <v>567.1</v>
      </c>
      <c r="IP4" vm="2144">
        <f ca="1"/>
        <v>562.65</v>
      </c>
    </row>
    <row r="6" spans="1:250" x14ac:dyDescent="0.3">
      <c r="B6" t="str" cm="1">
        <f t="array" aca="1" ref="B6:G28" ca="1">_xlfn.STOCKHISTORY(A4&amp;":"&amp;B4,TODAY()-30,TODAY(),0,1,0,5,2,3,4,1)</f>
        <v>Date</v>
      </c>
      <c r="C6" t="str">
        <f ca="1"/>
        <v>Volume</v>
      </c>
      <c r="D6" t="str">
        <f ca="1"/>
        <v>Open</v>
      </c>
      <c r="E6" t="str">
        <f ca="1"/>
        <v>High</v>
      </c>
      <c r="F6" t="str">
        <f ca="1"/>
        <v>Low</v>
      </c>
      <c r="G6" t="str">
        <f ca="1"/>
        <v>Close</v>
      </c>
    </row>
    <row r="7" spans="1:250" x14ac:dyDescent="0.3">
      <c r="B7" vm="228">
        <f ca="1"/>
        <v>45070</v>
      </c>
      <c r="C7" vm="2145">
        <f ca="1"/>
        <v>2304274</v>
      </c>
      <c r="D7" vm="2146">
        <f ca="1"/>
        <v>526.79999999999995</v>
      </c>
      <c r="E7" vm="2147">
        <f ca="1"/>
        <v>528.5</v>
      </c>
      <c r="F7" vm="2125">
        <f ca="1"/>
        <v>522.25</v>
      </c>
      <c r="G7" vm="2127">
        <f ca="1"/>
        <v>526.70000000000005</v>
      </c>
    </row>
    <row r="8" spans="1:250" x14ac:dyDescent="0.3">
      <c r="B8" vm="229">
        <f ca="1"/>
        <v>45071</v>
      </c>
      <c r="C8" vm="2148">
        <f ca="1"/>
        <v>2297300</v>
      </c>
      <c r="D8" vm="2127">
        <f ca="1"/>
        <v>526.70000000000005</v>
      </c>
      <c r="E8" vm="2149">
        <f ca="1"/>
        <v>533.54999999999995</v>
      </c>
      <c r="F8" vm="2150">
        <f ca="1"/>
        <v>525.54999999999995</v>
      </c>
      <c r="G8" vm="2128">
        <f ca="1"/>
        <v>530.15</v>
      </c>
    </row>
    <row r="9" spans="1:250" x14ac:dyDescent="0.3">
      <c r="B9" vm="230">
        <f ca="1"/>
        <v>45072</v>
      </c>
      <c r="C9" vm="2151">
        <f ca="1"/>
        <v>2184804</v>
      </c>
      <c r="D9" vm="2152">
        <f ca="1"/>
        <v>529.54999999999995</v>
      </c>
      <c r="E9" vm="2055">
        <f ca="1"/>
        <v>543.70000000000005</v>
      </c>
      <c r="F9" vm="2147">
        <f ca="1"/>
        <v>528.5</v>
      </c>
      <c r="G9" vm="2129">
        <f ca="1"/>
        <v>542.1</v>
      </c>
    </row>
    <row r="10" spans="1:250" x14ac:dyDescent="0.3">
      <c r="B10" vm="231">
        <f ca="1"/>
        <v>45075</v>
      </c>
      <c r="C10" vm="2153">
        <f ca="1"/>
        <v>2215580</v>
      </c>
      <c r="D10" vm="2154">
        <f ca="1"/>
        <v>545.95000000000005</v>
      </c>
      <c r="E10" vm="2155">
        <f ca="1"/>
        <v>550</v>
      </c>
      <c r="F10" vm="2156">
        <f ca="1"/>
        <v>542.4</v>
      </c>
      <c r="G10" vm="1950">
        <f ca="1"/>
        <v>548.35</v>
      </c>
    </row>
    <row r="11" spans="1:250" x14ac:dyDescent="0.3">
      <c r="B11" vm="232">
        <f ca="1"/>
        <v>45076</v>
      </c>
      <c r="C11" vm="2157">
        <f ca="1"/>
        <v>2023557</v>
      </c>
      <c r="D11" vm="2155">
        <f ca="1"/>
        <v>550</v>
      </c>
      <c r="E11" vm="2158">
        <f ca="1"/>
        <v>552.9</v>
      </c>
      <c r="F11" vm="2159">
        <f ca="1"/>
        <v>546.70000000000005</v>
      </c>
      <c r="G11" vm="1070">
        <f ca="1"/>
        <v>549.9</v>
      </c>
    </row>
    <row r="12" spans="1:250" x14ac:dyDescent="0.3">
      <c r="B12" vm="233">
        <f ca="1"/>
        <v>45077</v>
      </c>
      <c r="C12" vm="2160">
        <f ca="1"/>
        <v>4905059</v>
      </c>
      <c r="D12" vm="2022">
        <f ca="1"/>
        <v>548.5</v>
      </c>
      <c r="E12" vm="2161">
        <f ca="1"/>
        <v>558</v>
      </c>
      <c r="F12" vm="1073">
        <f ca="1"/>
        <v>546.04999999999995</v>
      </c>
      <c r="G12" vm="2130">
        <f ca="1"/>
        <v>555.4</v>
      </c>
    </row>
    <row r="13" spans="1:250" x14ac:dyDescent="0.3">
      <c r="B13" vm="234">
        <f ca="1"/>
        <v>45078</v>
      </c>
      <c r="C13" vm="2162">
        <f ca="1"/>
        <v>1385234</v>
      </c>
      <c r="D13" vm="2163">
        <f ca="1"/>
        <v>555.45000000000005</v>
      </c>
      <c r="E13" vm="2164">
        <f ca="1"/>
        <v>563.9</v>
      </c>
      <c r="F13" vm="2165">
        <f ca="1"/>
        <v>553.25</v>
      </c>
      <c r="G13" vm="2131">
        <f ca="1"/>
        <v>556.9</v>
      </c>
    </row>
    <row r="14" spans="1:250" x14ac:dyDescent="0.3">
      <c r="B14" vm="235">
        <f ca="1"/>
        <v>45079</v>
      </c>
      <c r="C14" vm="2166">
        <f ca="1"/>
        <v>1166828</v>
      </c>
      <c r="D14" vm="2013">
        <f ca="1"/>
        <v>557.5</v>
      </c>
      <c r="E14" vm="2167">
        <f ca="1"/>
        <v>560</v>
      </c>
      <c r="F14" vm="2168">
        <f ca="1"/>
        <v>555.85</v>
      </c>
      <c r="G14" vm="2132">
        <f ca="1"/>
        <v>557.20000000000005</v>
      </c>
    </row>
    <row r="15" spans="1:250" x14ac:dyDescent="0.3">
      <c r="B15" vm="236">
        <f ca="1"/>
        <v>45082</v>
      </c>
      <c r="C15" vm="2169">
        <f ca="1"/>
        <v>1570130</v>
      </c>
      <c r="D15" vm="2170">
        <f ca="1"/>
        <v>558.54999999999995</v>
      </c>
      <c r="E15" vm="2171">
        <f ca="1"/>
        <v>563</v>
      </c>
      <c r="F15" vm="2172">
        <f ca="1"/>
        <v>551.54999999999995</v>
      </c>
      <c r="G15" vm="2133">
        <f ca="1"/>
        <v>552.25</v>
      </c>
    </row>
    <row r="16" spans="1:250" x14ac:dyDescent="0.3">
      <c r="B16" vm="237">
        <f ca="1"/>
        <v>45083</v>
      </c>
      <c r="C16" vm="2173">
        <f ca="1"/>
        <v>2685928</v>
      </c>
      <c r="D16" vm="2174">
        <f ca="1"/>
        <v>553.54999999999995</v>
      </c>
      <c r="E16" vm="2175">
        <f ca="1"/>
        <v>554.35</v>
      </c>
      <c r="F16" vm="2176">
        <f ca="1"/>
        <v>541.54999999999995</v>
      </c>
      <c r="G16" vm="2134">
        <f ca="1"/>
        <v>547.5</v>
      </c>
    </row>
    <row r="17" spans="2:7" x14ac:dyDescent="0.3">
      <c r="B17" vm="238">
        <f ca="1"/>
        <v>45084</v>
      </c>
      <c r="C17" vm="2177">
        <f ca="1"/>
        <v>2718117</v>
      </c>
      <c r="D17" vm="2178">
        <f ca="1"/>
        <v>548.95000000000005</v>
      </c>
      <c r="E17" vm="2179">
        <f ca="1"/>
        <v>558.20000000000005</v>
      </c>
      <c r="F17" vm="2180">
        <f ca="1"/>
        <v>546.20000000000005</v>
      </c>
      <c r="G17" vm="2135">
        <f ca="1"/>
        <v>556.5</v>
      </c>
    </row>
    <row r="18" spans="2:7" x14ac:dyDescent="0.3">
      <c r="B18" vm="239">
        <f ca="1"/>
        <v>45085</v>
      </c>
      <c r="C18" vm="2181">
        <f ca="1"/>
        <v>1650679</v>
      </c>
      <c r="D18" vm="2182">
        <f ca="1"/>
        <v>559</v>
      </c>
      <c r="E18" vm="2167">
        <f ca="1"/>
        <v>560</v>
      </c>
      <c r="F18" vm="2183">
        <f ca="1"/>
        <v>551.29999999999995</v>
      </c>
      <c r="G18" vm="2136">
        <f ca="1"/>
        <v>552.1</v>
      </c>
    </row>
    <row r="19" spans="2:7" x14ac:dyDescent="0.3">
      <c r="B19" vm="240">
        <f ca="1"/>
        <v>45086</v>
      </c>
      <c r="C19" vm="2184">
        <f ca="1"/>
        <v>2146305</v>
      </c>
      <c r="D19" vm="2185">
        <f ca="1"/>
        <v>555.65</v>
      </c>
      <c r="E19" vm="2135">
        <f ca="1"/>
        <v>556.5</v>
      </c>
      <c r="F19" vm="2186">
        <f ca="1"/>
        <v>546.6</v>
      </c>
      <c r="G19" vm="2137">
        <f ca="1"/>
        <v>549.95000000000005</v>
      </c>
    </row>
    <row r="20" spans="2:7" x14ac:dyDescent="0.3">
      <c r="B20" vm="241">
        <f ca="1"/>
        <v>45089</v>
      </c>
      <c r="C20" vm="2187">
        <f ca="1"/>
        <v>1007065</v>
      </c>
      <c r="D20" vm="2188">
        <f ca="1"/>
        <v>549</v>
      </c>
      <c r="E20" vm="2189">
        <f ca="1"/>
        <v>555.70000000000005</v>
      </c>
      <c r="F20" vm="2190">
        <f ca="1"/>
        <v>546.65</v>
      </c>
      <c r="G20" vm="2014">
        <f ca="1"/>
        <v>553.6</v>
      </c>
    </row>
    <row r="21" spans="2:7" x14ac:dyDescent="0.3">
      <c r="B21" vm="242">
        <f ca="1"/>
        <v>45090</v>
      </c>
      <c r="C21" vm="2191">
        <f ca="1"/>
        <v>2644392</v>
      </c>
      <c r="D21" vm="2014">
        <f ca="1"/>
        <v>553.6</v>
      </c>
      <c r="E21" vm="2192">
        <f ca="1"/>
        <v>562.9</v>
      </c>
      <c r="F21" vm="2183">
        <f ca="1"/>
        <v>551.29999999999995</v>
      </c>
      <c r="G21" vm="2138">
        <f ca="1"/>
        <v>560.45000000000005</v>
      </c>
    </row>
    <row r="22" spans="2:7" x14ac:dyDescent="0.3">
      <c r="B22" vm="243">
        <f ca="1"/>
        <v>45091</v>
      </c>
      <c r="C22" vm="2193">
        <f ca="1"/>
        <v>1577846</v>
      </c>
      <c r="D22" vm="1064">
        <f ca="1"/>
        <v>561</v>
      </c>
      <c r="E22" vm="2194">
        <f ca="1"/>
        <v>563.5</v>
      </c>
      <c r="F22" vm="2064">
        <f ca="1"/>
        <v>557.75</v>
      </c>
      <c r="G22" vm="2139">
        <f ca="1"/>
        <v>562.35</v>
      </c>
    </row>
    <row r="23" spans="2:7" x14ac:dyDescent="0.3">
      <c r="B23" vm="244">
        <f ca="1"/>
        <v>45092</v>
      </c>
      <c r="C23" vm="2195">
        <f ca="1"/>
        <v>2246105</v>
      </c>
      <c r="D23" vm="2139">
        <f ca="1"/>
        <v>562.35</v>
      </c>
      <c r="E23" vm="2196">
        <f ca="1"/>
        <v>570.5</v>
      </c>
      <c r="F23" vm="2047">
        <f ca="1"/>
        <v>561.54999999999995</v>
      </c>
      <c r="G23" vm="2140">
        <f ca="1"/>
        <v>569.04999999999995</v>
      </c>
    </row>
    <row r="24" spans="2:7" x14ac:dyDescent="0.3">
      <c r="B24" vm="245">
        <f ca="1"/>
        <v>45093</v>
      </c>
      <c r="C24" vm="2197">
        <f ca="1"/>
        <v>2022971</v>
      </c>
      <c r="D24" vm="683">
        <f ca="1"/>
        <v>573</v>
      </c>
      <c r="E24" vm="683">
        <f ca="1"/>
        <v>573</v>
      </c>
      <c r="F24" vm="2198">
        <f ca="1"/>
        <v>565.25</v>
      </c>
      <c r="G24" vm="2141">
        <f ca="1"/>
        <v>570.9</v>
      </c>
    </row>
    <row r="25" spans="2:7" x14ac:dyDescent="0.3">
      <c r="B25" vm="246">
        <f ca="1"/>
        <v>45096</v>
      </c>
      <c r="C25" vm="2199">
        <f ca="1"/>
        <v>1114637</v>
      </c>
      <c r="D25" vm="2200">
        <f ca="1"/>
        <v>571.1</v>
      </c>
      <c r="E25" vm="683">
        <f ca="1"/>
        <v>573</v>
      </c>
      <c r="F25" vm="2201">
        <f ca="1"/>
        <v>566.65</v>
      </c>
      <c r="G25" vm="2044">
        <f ca="1"/>
        <v>569.15</v>
      </c>
    </row>
    <row r="26" spans="2:7" x14ac:dyDescent="0.3">
      <c r="B26" vm="247">
        <f ca="1"/>
        <v>45097</v>
      </c>
      <c r="C26" vm="2202">
        <f ca="1"/>
        <v>1068183</v>
      </c>
      <c r="D26" vm="2203">
        <f ca="1"/>
        <v>567.35</v>
      </c>
      <c r="E26" vm="2204">
        <f ca="1"/>
        <v>572.9</v>
      </c>
      <c r="F26" vm="2205">
        <f ca="1"/>
        <v>563.1</v>
      </c>
      <c r="G26" vm="2142">
        <f ca="1"/>
        <v>572.1</v>
      </c>
    </row>
    <row r="27" spans="2:7" x14ac:dyDescent="0.3">
      <c r="B27" vm="248">
        <f ca="1"/>
        <v>45098</v>
      </c>
      <c r="C27" vm="2206">
        <f ca="1"/>
        <v>1632121</v>
      </c>
      <c r="D27" vm="1974">
        <f ca="1"/>
        <v>572</v>
      </c>
      <c r="E27" vm="2207">
        <f ca="1"/>
        <v>575.5</v>
      </c>
      <c r="F27" vm="2208">
        <f ca="1"/>
        <v>564.79999999999995</v>
      </c>
      <c r="G27" vm="2143">
        <f ca="1"/>
        <v>567.1</v>
      </c>
    </row>
    <row r="28" spans="2:7" x14ac:dyDescent="0.3">
      <c r="B28" vm="249">
        <f ca="1"/>
        <v>45099</v>
      </c>
      <c r="C28" vm="2209">
        <f ca="1"/>
        <v>1815315</v>
      </c>
      <c r="D28" vm="2143">
        <f ca="1"/>
        <v>567.1</v>
      </c>
      <c r="E28" vm="2140">
        <f ca="1"/>
        <v>569.04999999999995</v>
      </c>
      <c r="F28" vm="2210">
        <f ca="1"/>
        <v>560.04999999999995</v>
      </c>
      <c r="G28" vm="2144">
        <f ca="1"/>
        <v>562.65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2AD336-6B80-4E3D-9413-6062BC3D9AAC}">
  <dimension ref="A1:IP28"/>
  <sheetViews>
    <sheetView workbookViewId="0">
      <selection activeCell="A6" sqref="A6"/>
    </sheetView>
  </sheetViews>
  <sheetFormatPr defaultRowHeight="14.4" x14ac:dyDescent="0.3"/>
  <cols>
    <col min="1" max="6" width="15.77734375" customWidth="1"/>
  </cols>
  <sheetData>
    <row r="1" spans="1:250" x14ac:dyDescent="0.3">
      <c r="A1" s="21" t="s">
        <v>47</v>
      </c>
      <c r="B1" t="s">
        <v>56</v>
      </c>
    </row>
    <row r="3" spans="1:250" x14ac:dyDescent="0.3">
      <c r="A3" s="21" t="s">
        <v>55</v>
      </c>
      <c r="B3" s="21" t="s">
        <v>48</v>
      </c>
    </row>
    <row r="4" spans="1:250" x14ac:dyDescent="0.3">
      <c r="A4" t="s">
        <v>54</v>
      </c>
      <c r="B4" t="s">
        <v>18</v>
      </c>
      <c r="C4" cm="1" vm="2211">
        <f t="array" aca="1" ref="C4:IP4" ca="1">TRANSPOSE(_xlfn.STOCKHISTORY(A4&amp;":"&amp;B4, TODAY()-365, TODAY(), 0,0,1))</f>
        <v>1494.3</v>
      </c>
      <c r="D4" vm="2212">
        <f ca="1"/>
        <v>1494.85</v>
      </c>
      <c r="E4" vm="2213">
        <f ca="1"/>
        <v>1535.8</v>
      </c>
      <c r="F4" vm="2214">
        <f ca="1"/>
        <v>1551.5</v>
      </c>
      <c r="G4" vm="2215">
        <f ca="1"/>
        <v>1547.9</v>
      </c>
      <c r="H4" vm="2216">
        <f ca="1"/>
        <v>1558.25</v>
      </c>
      <c r="I4" vm="2217">
        <f ca="1"/>
        <v>1572.15</v>
      </c>
      <c r="J4" vm="2218">
        <f ca="1"/>
        <v>1581.7</v>
      </c>
      <c r="K4" vm="2219">
        <f ca="1"/>
        <v>1564.9</v>
      </c>
      <c r="L4" vm="2220">
        <f ca="1"/>
        <v>1556.15</v>
      </c>
      <c r="M4" vm="2221">
        <f ca="1"/>
        <v>1611.1</v>
      </c>
      <c r="N4" vm="2222">
        <f ca="1"/>
        <v>1687.45</v>
      </c>
      <c r="O4" vm="2223">
        <f ca="1"/>
        <v>1663</v>
      </c>
      <c r="P4" vm="2224">
        <f ca="1"/>
        <v>1653.75</v>
      </c>
      <c r="Q4" vm="2225">
        <f ca="1"/>
        <v>1647.25</v>
      </c>
      <c r="R4" vm="2226">
        <f ca="1"/>
        <v>1646.15</v>
      </c>
      <c r="S4" vm="2227">
        <f ca="1"/>
        <v>1684.85</v>
      </c>
      <c r="T4" vm="2228">
        <f ca="1"/>
        <v>1727.65</v>
      </c>
      <c r="U4" vm="2229">
        <f ca="1"/>
        <v>1729.8</v>
      </c>
      <c r="V4" vm="2230">
        <f ca="1"/>
        <v>1739.95</v>
      </c>
      <c r="W4" vm="2231">
        <f ca="1"/>
        <v>1765.15</v>
      </c>
      <c r="X4" vm="2232">
        <f ca="1"/>
        <v>1767.75</v>
      </c>
      <c r="Y4" vm="2233">
        <f ca="1"/>
        <v>1782.45</v>
      </c>
      <c r="Z4" vm="2234">
        <f ca="1"/>
        <v>1751.25</v>
      </c>
      <c r="AA4" vm="2235">
        <f ca="1"/>
        <v>1796.65</v>
      </c>
      <c r="AB4" vm="2236">
        <f ca="1"/>
        <v>1801.25</v>
      </c>
      <c r="AC4" vm="2237">
        <f ca="1"/>
        <v>1808.05</v>
      </c>
      <c r="AD4" vm="2238">
        <f ca="1"/>
        <v>1814.7</v>
      </c>
      <c r="AE4" vm="2239">
        <f ca="1"/>
        <v>1793.05</v>
      </c>
      <c r="AF4" vm="2240">
        <f ca="1"/>
        <v>1789.8</v>
      </c>
      <c r="AG4" vm="2241">
        <f ca="1"/>
        <v>1780.1</v>
      </c>
      <c r="AH4" vm="2242">
        <f ca="1"/>
        <v>1787.45</v>
      </c>
      <c r="AI4" vm="2243">
        <f ca="1"/>
        <v>1829.65</v>
      </c>
      <c r="AJ4" vm="2244">
        <f ca="1"/>
        <v>1855.15</v>
      </c>
      <c r="AK4" vm="2245">
        <f ca="1"/>
        <v>1867.15</v>
      </c>
      <c r="AL4" vm="2246">
        <f ca="1"/>
        <v>1846.45</v>
      </c>
      <c r="AM4" vm="2247">
        <f ca="1"/>
        <v>1848.9</v>
      </c>
      <c r="AN4" vm="2248">
        <f ca="1"/>
        <v>1855.7</v>
      </c>
      <c r="AO4" vm="2249">
        <f ca="1"/>
        <v>1894.55</v>
      </c>
      <c r="AP4" vm="2250">
        <f ca="1"/>
        <v>1936.05</v>
      </c>
      <c r="AQ4" vm="2251">
        <f ca="1"/>
        <v>1880.65</v>
      </c>
      <c r="AR4" vm="2252">
        <f ca="1"/>
        <v>1877.05</v>
      </c>
      <c r="AS4" vm="2253">
        <f ca="1"/>
        <v>1893.35</v>
      </c>
      <c r="AT4" vm="2254">
        <f ca="1"/>
        <v>1877.9</v>
      </c>
      <c r="AU4" vm="2255">
        <f ca="1"/>
        <v>1905.4</v>
      </c>
      <c r="AV4" vm="2256">
        <f ca="1"/>
        <v>1881.5</v>
      </c>
      <c r="AW4" vm="2257">
        <f ca="1"/>
        <v>1922.5</v>
      </c>
      <c r="AX4" vm="2258">
        <f ca="1"/>
        <v>1912.95</v>
      </c>
      <c r="AY4" vm="2259">
        <f ca="1"/>
        <v>1940.5</v>
      </c>
      <c r="AZ4" vm="2260">
        <f ca="1"/>
        <v>1968.35</v>
      </c>
      <c r="BA4" vm="2261">
        <f ca="1"/>
        <v>1962.3</v>
      </c>
      <c r="BB4" vm="2262">
        <f ca="1"/>
        <v>1958.1</v>
      </c>
      <c r="BC4" vm="2263">
        <f ca="1"/>
        <v>1974.4</v>
      </c>
      <c r="BD4" vm="2264">
        <f ca="1"/>
        <v>1949.75</v>
      </c>
      <c r="BE4" vm="2265">
        <f ca="1"/>
        <v>1961.9</v>
      </c>
      <c r="BF4" vm="2266">
        <f ca="1"/>
        <v>1991.35</v>
      </c>
      <c r="BG4" vm="2267">
        <f ca="1"/>
        <v>1953.9</v>
      </c>
      <c r="BH4" vm="2268">
        <f ca="1"/>
        <v>1957.5</v>
      </c>
      <c r="BI4" vm="2269">
        <f ca="1"/>
        <v>1920</v>
      </c>
      <c r="BJ4" vm="2270">
        <f ca="1"/>
        <v>1910.7</v>
      </c>
      <c r="BK4" vm="2271">
        <f ca="1"/>
        <v>1932.7</v>
      </c>
      <c r="BL4" vm="2272">
        <f ca="1"/>
        <v>1895.65</v>
      </c>
      <c r="BM4" vm="2273">
        <f ca="1"/>
        <v>1888.2</v>
      </c>
      <c r="BN4" vm="2274">
        <f ca="1"/>
        <v>1856.85</v>
      </c>
      <c r="BO4" vm="2275">
        <f ca="1"/>
        <v>1851.45</v>
      </c>
      <c r="BP4" vm="2276">
        <f ca="1"/>
        <v>1841.2</v>
      </c>
      <c r="BQ4" vm="2277">
        <f ca="1"/>
        <v>1835.45</v>
      </c>
      <c r="BR4" vm="2278">
        <f ca="1"/>
        <v>1815.5</v>
      </c>
      <c r="BS4" vm="2279">
        <f ca="1"/>
        <v>1847.7</v>
      </c>
      <c r="BT4" vm="2280">
        <f ca="1"/>
        <v>1819.3</v>
      </c>
      <c r="BU4" vm="2281">
        <f ca="1"/>
        <v>1871.55</v>
      </c>
      <c r="BV4" vm="2258">
        <f ca="1"/>
        <v>1912.95</v>
      </c>
      <c r="BW4" vm="2282">
        <f ca="1"/>
        <v>1924.55</v>
      </c>
      <c r="BX4" vm="2283">
        <f ca="1"/>
        <v>1909.65</v>
      </c>
      <c r="BY4" vm="2284">
        <f ca="1"/>
        <v>1878.95</v>
      </c>
      <c r="BZ4" vm="2285">
        <f ca="1"/>
        <v>1911.25</v>
      </c>
      <c r="CA4" vm="2286">
        <f ca="1"/>
        <v>1876.15</v>
      </c>
      <c r="CB4" vm="2287">
        <f ca="1"/>
        <v>1911.6</v>
      </c>
      <c r="CC4" vm="2288">
        <f ca="1"/>
        <v>1883.2</v>
      </c>
      <c r="CD4" vm="2289">
        <f ca="1"/>
        <v>1918.1</v>
      </c>
      <c r="CE4" vm="2290">
        <f ca="1"/>
        <v>1904.9</v>
      </c>
      <c r="CF4" vm="2291">
        <f ca="1"/>
        <v>1904.15</v>
      </c>
      <c r="CG4" vm="2292">
        <f ca="1"/>
        <v>1876.75</v>
      </c>
      <c r="CH4" vm="2293">
        <f ca="1"/>
        <v>1909.75</v>
      </c>
      <c r="CI4" vm="2294">
        <f ca="1"/>
        <v>1949.1</v>
      </c>
      <c r="CJ4" vm="2295">
        <f ca="1"/>
        <v>1964.05</v>
      </c>
      <c r="CK4" vm="2296">
        <f ca="1"/>
        <v>1975.05</v>
      </c>
      <c r="CL4" vm="2297">
        <f ca="1"/>
        <v>2023.1</v>
      </c>
      <c r="CM4" vm="2298">
        <f ca="1"/>
        <v>2024.45</v>
      </c>
      <c r="CN4" vm="2299">
        <f ca="1"/>
        <v>2013.3</v>
      </c>
      <c r="CO4" vm="2300">
        <f ca="1"/>
        <v>2008.7</v>
      </c>
      <c r="CP4" vm="2301">
        <f ca="1"/>
        <v>2015.1</v>
      </c>
      <c r="CQ4" vm="2302">
        <f ca="1"/>
        <v>2017.65</v>
      </c>
      <c r="CR4" vm="2303">
        <f ca="1"/>
        <v>2003.5</v>
      </c>
      <c r="CS4" vm="2304">
        <f ca="1"/>
        <v>1977.65</v>
      </c>
      <c r="CT4" vm="2305">
        <f ca="1"/>
        <v>2011.1</v>
      </c>
      <c r="CU4" vm="2306">
        <f ca="1"/>
        <v>1999.8</v>
      </c>
      <c r="CV4" vm="2307">
        <f ca="1"/>
        <v>1996.55</v>
      </c>
      <c r="CW4" vm="2308">
        <f ca="1"/>
        <v>2003.6</v>
      </c>
      <c r="CX4" vm="2309">
        <f ca="1"/>
        <v>2029.55</v>
      </c>
      <c r="CY4" vm="2298">
        <f ca="1"/>
        <v>2024.45</v>
      </c>
      <c r="CZ4" vm="2310">
        <f ca="1"/>
        <v>2011.45</v>
      </c>
      <c r="DA4" vm="2311">
        <f ca="1"/>
        <v>2029.8</v>
      </c>
      <c r="DB4" vm="2312">
        <f ca="1"/>
        <v>2025</v>
      </c>
      <c r="DC4" vm="2313">
        <f ca="1"/>
        <v>2052.1999999999998</v>
      </c>
      <c r="DD4" vm="2314">
        <f ca="1"/>
        <v>2062.75</v>
      </c>
      <c r="DE4" vm="2315">
        <f ca="1"/>
        <v>2064.4499999999998</v>
      </c>
      <c r="DF4" vm="2316">
        <f ca="1"/>
        <v>2050.5500000000002</v>
      </c>
      <c r="DG4" vm="2317">
        <f ca="1"/>
        <v>2074.85</v>
      </c>
      <c r="DH4" vm="2318">
        <f ca="1"/>
        <v>2104.25</v>
      </c>
      <c r="DI4" vm="2319">
        <f ca="1"/>
        <v>2085.5</v>
      </c>
      <c r="DJ4" vm="2320">
        <f ca="1"/>
        <v>2085.6</v>
      </c>
      <c r="DK4" vm="2321">
        <f ca="1"/>
        <v>2093.5</v>
      </c>
      <c r="DL4" vm="2322">
        <f ca="1"/>
        <v>2124</v>
      </c>
      <c r="DM4" vm="2323">
        <f ca="1"/>
        <v>2167.6999999999998</v>
      </c>
      <c r="DN4" vm="2324">
        <f ca="1"/>
        <v>2154.0500000000002</v>
      </c>
      <c r="DO4" vm="2325">
        <f ca="1"/>
        <v>2163.6999999999998</v>
      </c>
      <c r="DP4" vm="2326">
        <f ca="1"/>
        <v>2172.9</v>
      </c>
      <c r="DQ4" vm="2327">
        <f ca="1"/>
        <v>2195.4499999999998</v>
      </c>
      <c r="DR4" vm="2328">
        <f ca="1"/>
        <v>2177.5500000000002</v>
      </c>
      <c r="DS4" vm="2329">
        <f ca="1"/>
        <v>2175</v>
      </c>
      <c r="DT4" vm="2330">
        <f ca="1"/>
        <v>2184</v>
      </c>
      <c r="DU4" vm="2331">
        <f ca="1"/>
        <v>2163.25</v>
      </c>
      <c r="DV4" vm="2332">
        <f ca="1"/>
        <v>2146.3000000000002</v>
      </c>
      <c r="DW4" vm="2333">
        <f ca="1"/>
        <v>2109.9499999999998</v>
      </c>
      <c r="DX4" vm="2314">
        <f ca="1"/>
        <v>2062.75</v>
      </c>
      <c r="DY4" vm="2334">
        <f ca="1"/>
        <v>2091.0500000000002</v>
      </c>
      <c r="DZ4" vm="2335">
        <f ca="1"/>
        <v>2124.1</v>
      </c>
      <c r="EA4" vm="2336">
        <f ca="1"/>
        <v>2121.1</v>
      </c>
      <c r="EB4" vm="2337">
        <f ca="1"/>
        <v>2110.9</v>
      </c>
      <c r="EC4" vm="2338">
        <f ca="1"/>
        <v>2085.8000000000002</v>
      </c>
      <c r="ED4" vm="2339">
        <f ca="1"/>
        <v>2089.4499999999998</v>
      </c>
      <c r="EE4" vm="2340">
        <f ca="1"/>
        <v>2088.9499999999998</v>
      </c>
      <c r="EF4" vm="2341">
        <f ca="1"/>
        <v>2070.5500000000002</v>
      </c>
      <c r="EG4" vm="2342">
        <f ca="1"/>
        <v>2087.35</v>
      </c>
      <c r="EH4" vm="2343">
        <f ca="1"/>
        <v>2086.5500000000002</v>
      </c>
      <c r="EI4" vm="2344">
        <f ca="1"/>
        <v>2121.6999999999998</v>
      </c>
      <c r="EJ4" vm="2345">
        <f ca="1"/>
        <v>2106.65</v>
      </c>
      <c r="EK4" vm="2346">
        <f ca="1"/>
        <v>2125.35</v>
      </c>
      <c r="EL4" vm="2347">
        <f ca="1"/>
        <v>2159.75</v>
      </c>
      <c r="EM4" vm="2348">
        <f ca="1"/>
        <v>2153.4</v>
      </c>
      <c r="EN4" vm="2349">
        <f ca="1"/>
        <v>2137.1999999999998</v>
      </c>
      <c r="EO4" vm="2350">
        <f ca="1"/>
        <v>2213.1</v>
      </c>
      <c r="EP4" vm="2351">
        <f ca="1"/>
        <v>2266.5</v>
      </c>
      <c r="EQ4" vm="2352">
        <f ca="1"/>
        <v>2273.1</v>
      </c>
      <c r="ER4" vm="2353">
        <f ca="1"/>
        <v>2249.9499999999998</v>
      </c>
      <c r="ES4" vm="2354">
        <f ca="1"/>
        <v>2233.5</v>
      </c>
      <c r="ET4" vm="2355">
        <f ca="1"/>
        <v>2207.5</v>
      </c>
      <c r="EU4" vm="2356">
        <f ca="1"/>
        <v>2174.6999999999998</v>
      </c>
      <c r="EV4" vm="2357">
        <f ca="1"/>
        <v>2159.85</v>
      </c>
      <c r="EW4" vm="2358">
        <f ca="1"/>
        <v>2112.9</v>
      </c>
      <c r="EX4" vm="2359">
        <f ca="1"/>
        <v>2124.4</v>
      </c>
      <c r="EY4" vm="1212">
        <f ca="1"/>
        <v>2145.5500000000002</v>
      </c>
      <c r="EZ4" vm="2360">
        <f ca="1"/>
        <v>2144.9</v>
      </c>
      <c r="FA4" vm="2361">
        <f ca="1"/>
        <v>2166.5500000000002</v>
      </c>
      <c r="FB4" vm="2362">
        <f ca="1"/>
        <v>2156.1</v>
      </c>
      <c r="FC4" vm="2363">
        <f ca="1"/>
        <v>2165.3000000000002</v>
      </c>
      <c r="FD4" vm="2364">
        <f ca="1"/>
        <v>2130.85</v>
      </c>
      <c r="FE4" vm="2365">
        <f ca="1"/>
        <v>2147.4</v>
      </c>
      <c r="FF4" vm="2366">
        <f ca="1"/>
        <v>2163.85</v>
      </c>
      <c r="FG4" vm="2367">
        <f ca="1"/>
        <v>2203.3000000000002</v>
      </c>
      <c r="FH4" vm="2368">
        <f ca="1"/>
        <v>2191.65</v>
      </c>
      <c r="FI4" vm="2369">
        <f ca="1"/>
        <v>2175.0500000000002</v>
      </c>
      <c r="FJ4" vm="2370">
        <f ca="1"/>
        <v>2178.3000000000002</v>
      </c>
      <c r="FK4" vm="2371">
        <f ca="1"/>
        <v>2226.35</v>
      </c>
      <c r="FL4" vm="2372">
        <f ca="1"/>
        <v>2225.5</v>
      </c>
      <c r="FM4" vm="2373">
        <f ca="1"/>
        <v>2229.4499999999998</v>
      </c>
      <c r="FN4" vm="2374">
        <f ca="1"/>
        <v>2194.75</v>
      </c>
      <c r="FO4" vm="2375">
        <f ca="1"/>
        <v>2159.15</v>
      </c>
      <c r="FP4" vm="2376">
        <f ca="1"/>
        <v>2134.0500000000002</v>
      </c>
      <c r="FQ4" vm="2377">
        <f ca="1"/>
        <v>2113.6999999999998</v>
      </c>
      <c r="FR4" vm="2378">
        <f ca="1"/>
        <v>2109.15</v>
      </c>
      <c r="FS4" vm="2379">
        <f ca="1"/>
        <v>2115.3000000000002</v>
      </c>
      <c r="FT4" vm="2380">
        <f ca="1"/>
        <v>2121.6</v>
      </c>
      <c r="FU4" vm="2381">
        <f ca="1"/>
        <v>2152.0500000000002</v>
      </c>
      <c r="FV4" vm="2382">
        <f ca="1"/>
        <v>2141.15</v>
      </c>
      <c r="FW4" vm="2383">
        <f ca="1"/>
        <v>2170.8000000000002</v>
      </c>
      <c r="FX4" vm="2384">
        <f ca="1"/>
        <v>2193.1999999999998</v>
      </c>
      <c r="FY4" vm="2385">
        <f ca="1"/>
        <v>2157.85</v>
      </c>
      <c r="FZ4" vm="2386">
        <f ca="1"/>
        <v>2133.85</v>
      </c>
      <c r="GA4" vm="2387">
        <f ca="1"/>
        <v>2144.1999999999998</v>
      </c>
      <c r="GB4" vm="2388">
        <f ca="1"/>
        <v>2176.65</v>
      </c>
      <c r="GC4" vm="2389">
        <f ca="1"/>
        <v>2173.6</v>
      </c>
      <c r="GD4" vm="2390">
        <f ca="1"/>
        <v>2195.75</v>
      </c>
      <c r="GE4" vm="2328">
        <f ca="1"/>
        <v>2177.5500000000002</v>
      </c>
      <c r="GF4" vm="2391">
        <f ca="1"/>
        <v>2208.4499999999998</v>
      </c>
      <c r="GG4" vm="2392">
        <f ca="1"/>
        <v>2213.9499999999998</v>
      </c>
      <c r="GH4" vm="2393">
        <f ca="1"/>
        <v>2206.65</v>
      </c>
      <c r="GI4" vm="2394">
        <f ca="1"/>
        <v>2166.15</v>
      </c>
      <c r="GJ4" vm="2395">
        <f ca="1"/>
        <v>2154</v>
      </c>
      <c r="GK4" vm="2396">
        <f ca="1"/>
        <v>2133.6</v>
      </c>
      <c r="GL4" vm="2397">
        <f ca="1"/>
        <v>2147.4499999999998</v>
      </c>
      <c r="GM4" vm="2398">
        <f ca="1"/>
        <v>2164.1999999999998</v>
      </c>
      <c r="GN4" vm="2399">
        <f ca="1"/>
        <v>2170.15</v>
      </c>
      <c r="GO4" vm="2400">
        <f ca="1"/>
        <v>2257.75</v>
      </c>
      <c r="GP4" vm="2401">
        <f ca="1"/>
        <v>2274.25</v>
      </c>
      <c r="GQ4" vm="2402">
        <f ca="1"/>
        <v>2309.6999999999998</v>
      </c>
      <c r="GR4" vm="2403">
        <f ca="1"/>
        <v>2301.5</v>
      </c>
      <c r="GS4" vm="2404">
        <f ca="1"/>
        <v>2288.5</v>
      </c>
      <c r="GT4" vm="2405">
        <f ca="1"/>
        <v>2258.75</v>
      </c>
      <c r="GU4" vm="2406">
        <f ca="1"/>
        <v>2214</v>
      </c>
      <c r="GV4" vm="2407">
        <f ca="1"/>
        <v>2216.6</v>
      </c>
      <c r="GW4" vm="2408">
        <f ca="1"/>
        <v>2219.6</v>
      </c>
      <c r="GX4" vm="2409">
        <f ca="1"/>
        <v>2232.75</v>
      </c>
      <c r="GY4" vm="2410">
        <f ca="1"/>
        <v>2215.1999999999998</v>
      </c>
      <c r="GZ4" vm="2411">
        <f ca="1"/>
        <v>2228.9</v>
      </c>
      <c r="HA4" vm="2412">
        <f ca="1"/>
        <v>2247.9499999999998</v>
      </c>
      <c r="HB4" vm="2413">
        <f ca="1"/>
        <v>2276.15</v>
      </c>
      <c r="HC4" vm="2414">
        <f ca="1"/>
        <v>2305.6</v>
      </c>
      <c r="HD4" vm="2415">
        <f ca="1"/>
        <v>2364.4</v>
      </c>
      <c r="HE4" vm="2416">
        <f ca="1"/>
        <v>2384.4499999999998</v>
      </c>
      <c r="HF4" vm="2417">
        <f ca="1"/>
        <v>2356.3000000000002</v>
      </c>
      <c r="HG4" vm="2418">
        <f ca="1"/>
        <v>2356.9</v>
      </c>
      <c r="HH4" vm="2419">
        <f ca="1"/>
        <v>2377.5</v>
      </c>
      <c r="HI4" vm="2420">
        <f ca="1"/>
        <v>2365.4</v>
      </c>
      <c r="HJ4" vm="2421">
        <f ca="1"/>
        <v>2374.35</v>
      </c>
      <c r="HK4" vm="2422">
        <f ca="1"/>
        <v>2364.4499999999998</v>
      </c>
      <c r="HL4" vm="2423">
        <f ca="1"/>
        <v>2242.15</v>
      </c>
      <c r="HM4" vm="2424">
        <f ca="1"/>
        <v>2221.1</v>
      </c>
      <c r="HN4" vm="2425">
        <f ca="1"/>
        <v>2246.85</v>
      </c>
      <c r="HO4" vm="2426">
        <f ca="1"/>
        <v>2227.1999999999998</v>
      </c>
      <c r="HP4" vm="2408">
        <f ca="1"/>
        <v>2219.6</v>
      </c>
      <c r="HQ4" vm="2427">
        <f ca="1"/>
        <v>2188.1999999999998</v>
      </c>
      <c r="HR4" vm="2428">
        <f ca="1"/>
        <v>2190.0500000000002</v>
      </c>
      <c r="HS4" vm="2407">
        <f ca="1"/>
        <v>2216.6</v>
      </c>
      <c r="HT4" vm="2429">
        <f ca="1"/>
        <v>2197.65</v>
      </c>
      <c r="HU4" vm="2430">
        <f ca="1"/>
        <v>2185.15</v>
      </c>
      <c r="HV4" vm="2431">
        <f ca="1"/>
        <v>2204.6999999999998</v>
      </c>
      <c r="HW4" vm="2432">
        <f ca="1"/>
        <v>2218.4499999999998</v>
      </c>
      <c r="HX4" vm="2433">
        <f ca="1"/>
        <v>2224.5500000000002</v>
      </c>
      <c r="HY4" vm="2434">
        <f ca="1"/>
        <v>2210.8000000000002</v>
      </c>
      <c r="HZ4" vm="2435">
        <f ca="1"/>
        <v>2205.65</v>
      </c>
      <c r="IA4" vm="2436">
        <f ca="1"/>
        <v>2207.8000000000002</v>
      </c>
      <c r="IB4" vm="2437">
        <f ca="1"/>
        <v>2234.5500000000002</v>
      </c>
      <c r="IC4" vm="2438">
        <f ca="1"/>
        <v>2268.3000000000002</v>
      </c>
      <c r="ID4" vm="2439">
        <f ca="1"/>
        <v>2277.9499999999998</v>
      </c>
      <c r="IE4" vm="2440">
        <f ca="1"/>
        <v>2315.5</v>
      </c>
      <c r="IF4" vm="2441">
        <f ca="1"/>
        <v>2340.3000000000002</v>
      </c>
      <c r="IG4" vm="2442">
        <f ca="1"/>
        <v>2363</v>
      </c>
      <c r="IH4" vm="2443">
        <f ca="1"/>
        <v>2339.9499999999998</v>
      </c>
      <c r="II4" vm="1236">
        <f ca="1"/>
        <v>2354.4</v>
      </c>
      <c r="IJ4" vm="2444">
        <f ca="1"/>
        <v>2355.0500000000002</v>
      </c>
      <c r="IK4" vm="2445">
        <f ca="1"/>
        <v>2361.3000000000002</v>
      </c>
      <c r="IL4" vm="2446">
        <f ca="1"/>
        <v>2366.8000000000002</v>
      </c>
      <c r="IM4" vm="2447">
        <f ca="1"/>
        <v>2366.35</v>
      </c>
      <c r="IN4" vm="2448">
        <f ca="1"/>
        <v>2382</v>
      </c>
      <c r="IO4" vm="2449">
        <f ca="1"/>
        <v>2394.4499999999998</v>
      </c>
      <c r="IP4" vm="2450">
        <f ca="1"/>
        <v>2416.25</v>
      </c>
    </row>
    <row r="6" spans="1:250" x14ac:dyDescent="0.3">
      <c r="A6" t="str" cm="1">
        <f t="array" aca="1" ref="A6:F28" ca="1">_xlfn.STOCKHISTORY(A4&amp;":"&amp;B4,TODAY()-30,TODAY(),0,1,0,5,2,3,4,1)</f>
        <v>Date</v>
      </c>
      <c r="B6" t="str">
        <f ca="1"/>
        <v>Volume</v>
      </c>
      <c r="C6" t="str">
        <f ca="1"/>
        <v>Open</v>
      </c>
      <c r="D6" t="str">
        <f ca="1"/>
        <v>High</v>
      </c>
      <c r="E6" t="str">
        <f ca="1"/>
        <v>Low</v>
      </c>
      <c r="F6" t="str">
        <f ca="1"/>
        <v>Close</v>
      </c>
    </row>
    <row r="7" spans="1:250" x14ac:dyDescent="0.3">
      <c r="A7" vm="228">
        <f ca="1"/>
        <v>45070</v>
      </c>
      <c r="B7" vm="2451">
        <f ca="1"/>
        <v>2648479</v>
      </c>
      <c r="C7" vm="2452">
        <f ca="1"/>
        <v>2200</v>
      </c>
      <c r="D7" vm="2453">
        <f ca="1"/>
        <v>2208.5</v>
      </c>
      <c r="E7" vm="2454">
        <f ca="1"/>
        <v>2176</v>
      </c>
      <c r="F7" vm="2430">
        <f ca="1"/>
        <v>2185.15</v>
      </c>
    </row>
    <row r="8" spans="1:250" x14ac:dyDescent="0.3">
      <c r="A8" vm="229">
        <f ca="1"/>
        <v>45071</v>
      </c>
      <c r="B8" vm="2455">
        <f ca="1"/>
        <v>1689521</v>
      </c>
      <c r="C8" vm="2456">
        <f ca="1"/>
        <v>2190</v>
      </c>
      <c r="D8" vm="2457">
        <f ca="1"/>
        <v>2207.3000000000002</v>
      </c>
      <c r="E8" vm="2458">
        <f ca="1"/>
        <v>2178</v>
      </c>
      <c r="F8" vm="2431">
        <f ca="1"/>
        <v>2204.6999999999998</v>
      </c>
    </row>
    <row r="9" spans="1:250" x14ac:dyDescent="0.3">
      <c r="A9" vm="230">
        <f ca="1"/>
        <v>45072</v>
      </c>
      <c r="B9" vm="2459">
        <f ca="1"/>
        <v>1249128</v>
      </c>
      <c r="C9" vm="2460">
        <f ca="1"/>
        <v>2209</v>
      </c>
      <c r="D9" vm="2461">
        <f ca="1"/>
        <v>2220.75</v>
      </c>
      <c r="E9" vm="2462">
        <f ca="1"/>
        <v>2201</v>
      </c>
      <c r="F9" vm="2432">
        <f ca="1"/>
        <v>2218.4499999999998</v>
      </c>
    </row>
    <row r="10" spans="1:250" x14ac:dyDescent="0.3">
      <c r="A10" vm="231">
        <f ca="1"/>
        <v>45075</v>
      </c>
      <c r="B10" vm="2463">
        <f ca="1"/>
        <v>1369656</v>
      </c>
      <c r="C10" vm="2464">
        <f ca="1"/>
        <v>2225</v>
      </c>
      <c r="D10" vm="2465">
        <f ca="1"/>
        <v>2241.8000000000002</v>
      </c>
      <c r="E10" vm="2466">
        <f ca="1"/>
        <v>2220.1999999999998</v>
      </c>
      <c r="F10" vm="2433">
        <f ca="1"/>
        <v>2224.5500000000002</v>
      </c>
    </row>
    <row r="11" spans="1:250" x14ac:dyDescent="0.3">
      <c r="A11" vm="232">
        <f ca="1"/>
        <v>45076</v>
      </c>
      <c r="B11" vm="2467">
        <f ca="1"/>
        <v>1716729</v>
      </c>
      <c r="C11" vm="2468">
        <f ca="1"/>
        <v>2230</v>
      </c>
      <c r="D11" vm="2469">
        <f ca="1"/>
        <v>2237</v>
      </c>
      <c r="E11" vm="2470">
        <f ca="1"/>
        <v>2207.1999999999998</v>
      </c>
      <c r="F11" vm="2434">
        <f ca="1"/>
        <v>2210.8000000000002</v>
      </c>
    </row>
    <row r="12" spans="1:250" x14ac:dyDescent="0.3">
      <c r="A12" vm="233">
        <f ca="1"/>
        <v>45077</v>
      </c>
      <c r="B12" vm="2471">
        <f ca="1"/>
        <v>2809284</v>
      </c>
      <c r="C12" vm="2472">
        <f ca="1"/>
        <v>2201.1</v>
      </c>
      <c r="D12" vm="2473">
        <f ca="1"/>
        <v>2224</v>
      </c>
      <c r="E12" vm="2452">
        <f ca="1"/>
        <v>2200</v>
      </c>
      <c r="F12" vm="2435">
        <f ca="1"/>
        <v>2205.65</v>
      </c>
    </row>
    <row r="13" spans="1:250" x14ac:dyDescent="0.3">
      <c r="A13" vm="234">
        <f ca="1"/>
        <v>45078</v>
      </c>
      <c r="B13" vm="2474">
        <f ca="1"/>
        <v>1049488</v>
      </c>
      <c r="C13" vm="2475">
        <f ca="1"/>
        <v>2217</v>
      </c>
      <c r="D13" vm="2476">
        <f ca="1"/>
        <v>2222</v>
      </c>
      <c r="E13" vm="2477">
        <f ca="1"/>
        <v>2202.15</v>
      </c>
      <c r="F13" vm="2436">
        <f ca="1"/>
        <v>2207.8000000000002</v>
      </c>
    </row>
    <row r="14" spans="1:250" x14ac:dyDescent="0.3">
      <c r="A14" vm="235">
        <f ca="1"/>
        <v>45079</v>
      </c>
      <c r="B14" vm="2478">
        <f ca="1"/>
        <v>1399950</v>
      </c>
      <c r="C14" vm="2479">
        <f ca="1"/>
        <v>2221</v>
      </c>
      <c r="D14" vm="2480">
        <f ca="1"/>
        <v>2237.3000000000002</v>
      </c>
      <c r="E14" vm="2481">
        <f ca="1"/>
        <v>2212.15</v>
      </c>
      <c r="F14" vm="2437">
        <f ca="1"/>
        <v>2234.5500000000002</v>
      </c>
    </row>
    <row r="15" spans="1:250" x14ac:dyDescent="0.3">
      <c r="A15" vm="236">
        <f ca="1"/>
        <v>45082</v>
      </c>
      <c r="B15" vm="2482">
        <f ca="1"/>
        <v>2344944</v>
      </c>
      <c r="C15" vm="2483">
        <f ca="1"/>
        <v>2245</v>
      </c>
      <c r="D15" vm="2484">
        <f ca="1"/>
        <v>2272.8000000000002</v>
      </c>
      <c r="E15" vm="2485">
        <f ca="1"/>
        <v>2240</v>
      </c>
      <c r="F15" vm="2438">
        <f ca="1"/>
        <v>2268.3000000000002</v>
      </c>
    </row>
    <row r="16" spans="1:250" x14ac:dyDescent="0.3">
      <c r="A16" vm="237">
        <f ca="1"/>
        <v>45083</v>
      </c>
      <c r="B16" vm="2486">
        <f ca="1"/>
        <v>1677680</v>
      </c>
      <c r="C16" vm="2487">
        <f ca="1"/>
        <v>2269</v>
      </c>
      <c r="D16" vm="2488">
        <f ca="1"/>
        <v>2280.6999999999998</v>
      </c>
      <c r="E16" vm="2489">
        <f ca="1"/>
        <v>2263.6999999999998</v>
      </c>
      <c r="F16" vm="2439">
        <f ca="1"/>
        <v>2277.9499999999998</v>
      </c>
    </row>
    <row r="17" spans="1:6" x14ac:dyDescent="0.3">
      <c r="A17" vm="238">
        <f ca="1"/>
        <v>45084</v>
      </c>
      <c r="B17" vm="2490">
        <f ca="1"/>
        <v>2128603</v>
      </c>
      <c r="C17" vm="2491">
        <f ca="1"/>
        <v>2278</v>
      </c>
      <c r="D17" vm="2492">
        <f ca="1"/>
        <v>2318</v>
      </c>
      <c r="E17" vm="2491">
        <f ca="1"/>
        <v>2278</v>
      </c>
      <c r="F17" vm="2440">
        <f ca="1"/>
        <v>2315.5</v>
      </c>
    </row>
    <row r="18" spans="1:6" x14ac:dyDescent="0.3">
      <c r="A18" vm="239">
        <f ca="1"/>
        <v>45085</v>
      </c>
      <c r="B18" vm="2493">
        <f ca="1"/>
        <v>2556995</v>
      </c>
      <c r="C18" vm="2494">
        <f ca="1"/>
        <v>2316.9499999999998</v>
      </c>
      <c r="D18" vm="2495">
        <f ca="1"/>
        <v>2345.0500000000002</v>
      </c>
      <c r="E18" vm="2496">
        <f ca="1"/>
        <v>2312.75</v>
      </c>
      <c r="F18" vm="2441">
        <f ca="1"/>
        <v>2340.3000000000002</v>
      </c>
    </row>
    <row r="19" spans="1:6" x14ac:dyDescent="0.3">
      <c r="A19" vm="240">
        <f ca="1"/>
        <v>45086</v>
      </c>
      <c r="B19" vm="2497">
        <f ca="1"/>
        <v>2501720</v>
      </c>
      <c r="C19" vm="2498">
        <f ca="1"/>
        <v>2345</v>
      </c>
      <c r="D19" vm="2499">
        <f ca="1"/>
        <v>2368.85</v>
      </c>
      <c r="E19" vm="2500">
        <f ca="1"/>
        <v>2338.25</v>
      </c>
      <c r="F19" vm="2442">
        <f ca="1"/>
        <v>2363</v>
      </c>
    </row>
    <row r="20" spans="1:6" x14ac:dyDescent="0.3">
      <c r="A20" vm="241">
        <f ca="1"/>
        <v>45089</v>
      </c>
      <c r="B20" vm="2501">
        <f ca="1"/>
        <v>1172382</v>
      </c>
      <c r="C20" vm="2502">
        <f ca="1"/>
        <v>2365</v>
      </c>
      <c r="D20" vm="2503">
        <f ca="1"/>
        <v>2370</v>
      </c>
      <c r="E20" vm="1369">
        <f ca="1"/>
        <v>2333.1</v>
      </c>
      <c r="F20" vm="2443">
        <f ca="1"/>
        <v>2339.9499999999998</v>
      </c>
    </row>
    <row r="21" spans="1:6" x14ac:dyDescent="0.3">
      <c r="A21" vm="242">
        <f ca="1"/>
        <v>45090</v>
      </c>
      <c r="B21" vm="2504">
        <f ca="1"/>
        <v>1688768</v>
      </c>
      <c r="C21" vm="2505">
        <f ca="1"/>
        <v>2345.85</v>
      </c>
      <c r="D21" vm="2506">
        <f ca="1"/>
        <v>2357.9</v>
      </c>
      <c r="E21" vm="2507">
        <f ca="1"/>
        <v>2327.1</v>
      </c>
      <c r="F21" vm="1236">
        <f ca="1"/>
        <v>2354.4</v>
      </c>
    </row>
    <row r="22" spans="1:6" x14ac:dyDescent="0.3">
      <c r="A22" vm="243">
        <f ca="1"/>
        <v>45091</v>
      </c>
      <c r="B22" vm="2508">
        <f ca="1"/>
        <v>1013564</v>
      </c>
      <c r="C22" vm="2509">
        <f ca="1"/>
        <v>2352.9</v>
      </c>
      <c r="D22" vm="2510">
        <f ca="1"/>
        <v>2360</v>
      </c>
      <c r="E22" vm="2511">
        <f ca="1"/>
        <v>2340</v>
      </c>
      <c r="F22" vm="2444">
        <f ca="1"/>
        <v>2355.0500000000002</v>
      </c>
    </row>
    <row r="23" spans="1:6" x14ac:dyDescent="0.3">
      <c r="A23" vm="244">
        <f ca="1"/>
        <v>45092</v>
      </c>
      <c r="B23" vm="2512">
        <f ca="1"/>
        <v>2561534</v>
      </c>
      <c r="C23" vm="2513">
        <f ca="1"/>
        <v>2355</v>
      </c>
      <c r="D23" vm="2514">
        <f ca="1"/>
        <v>2369.5</v>
      </c>
      <c r="E23" vm="2515">
        <f ca="1"/>
        <v>2349</v>
      </c>
      <c r="F23" vm="2445">
        <f ca="1"/>
        <v>2361.3000000000002</v>
      </c>
    </row>
    <row r="24" spans="1:6" x14ac:dyDescent="0.3">
      <c r="A24" vm="245">
        <f ca="1"/>
        <v>45093</v>
      </c>
      <c r="B24" vm="2516">
        <f ca="1"/>
        <v>1794542</v>
      </c>
      <c r="C24" vm="2517">
        <f ca="1"/>
        <v>2363.75</v>
      </c>
      <c r="D24" vm="2518">
        <f ca="1"/>
        <v>2380</v>
      </c>
      <c r="E24" vm="2519">
        <f ca="1"/>
        <v>2352.25</v>
      </c>
      <c r="F24" vm="2446">
        <f ca="1"/>
        <v>2366.8000000000002</v>
      </c>
    </row>
    <row r="25" spans="1:6" x14ac:dyDescent="0.3">
      <c r="A25" vm="246">
        <f ca="1"/>
        <v>45096</v>
      </c>
      <c r="B25" vm="2520">
        <f ca="1"/>
        <v>3111256</v>
      </c>
      <c r="C25" vm="2521">
        <f ca="1"/>
        <v>2379</v>
      </c>
      <c r="D25" vm="2522">
        <f ca="1"/>
        <v>2419.9</v>
      </c>
      <c r="E25" vm="2523">
        <f ca="1"/>
        <v>2361</v>
      </c>
      <c r="F25" vm="2447">
        <f ca="1"/>
        <v>2366.35</v>
      </c>
    </row>
    <row r="26" spans="1:6" x14ac:dyDescent="0.3">
      <c r="A26" vm="247">
        <f ca="1"/>
        <v>45097</v>
      </c>
      <c r="B26" vm="2524">
        <f ca="1"/>
        <v>1771306</v>
      </c>
      <c r="C26" vm="2525">
        <f ca="1"/>
        <v>2364.9499999999998</v>
      </c>
      <c r="D26" vm="2526">
        <f ca="1"/>
        <v>2389.65</v>
      </c>
      <c r="E26" vm="2527">
        <f ca="1"/>
        <v>2354.4499999999998</v>
      </c>
      <c r="F26" vm="2448">
        <f ca="1"/>
        <v>2382</v>
      </c>
    </row>
    <row r="27" spans="1:6" x14ac:dyDescent="0.3">
      <c r="A27" vm="248">
        <f ca="1"/>
        <v>45098</v>
      </c>
      <c r="B27" vm="2528">
        <f ca="1"/>
        <v>1607299</v>
      </c>
      <c r="C27" vm="2448">
        <f ca="1"/>
        <v>2382</v>
      </c>
      <c r="D27" vm="2529">
        <f ca="1"/>
        <v>2412</v>
      </c>
      <c r="E27" vm="2448">
        <f ca="1"/>
        <v>2382</v>
      </c>
      <c r="F27" vm="2449">
        <f ca="1"/>
        <v>2394.4499999999998</v>
      </c>
    </row>
    <row r="28" spans="1:6" x14ac:dyDescent="0.3">
      <c r="A28" vm="249">
        <f ca="1"/>
        <v>45099</v>
      </c>
      <c r="B28" vm="2530">
        <f ca="1"/>
        <v>1741775</v>
      </c>
      <c r="C28" vm="2531">
        <f ca="1"/>
        <v>2394.6</v>
      </c>
      <c r="D28" vm="2532">
        <f ca="1"/>
        <v>2424</v>
      </c>
      <c r="E28" vm="2518">
        <f ca="1"/>
        <v>2380</v>
      </c>
      <c r="F28" vm="2450">
        <f ca="1"/>
        <v>2416.25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262838-87A7-4502-8C49-C9CABD8A9BEC}">
  <dimension ref="A1:H8"/>
  <sheetViews>
    <sheetView workbookViewId="0">
      <selection activeCell="A7" sqref="A7"/>
    </sheetView>
  </sheetViews>
  <sheetFormatPr defaultRowHeight="14.4" x14ac:dyDescent="0.3"/>
  <cols>
    <col min="1" max="1" width="12.5546875" bestFit="1" customWidth="1"/>
    <col min="2" max="2" width="14.77734375" bestFit="1" customWidth="1"/>
    <col min="3" max="3" width="17.44140625" customWidth="1"/>
    <col min="4" max="4" width="13.5546875" customWidth="1"/>
    <col min="5" max="5" width="14.33203125" customWidth="1"/>
    <col min="6" max="6" width="13.77734375" customWidth="1"/>
  </cols>
  <sheetData>
    <row r="1" spans="1:8" x14ac:dyDescent="0.3">
      <c r="A1" t="s">
        <v>47</v>
      </c>
      <c r="B1" t="s">
        <v>55</v>
      </c>
      <c r="C1" t="s">
        <v>48</v>
      </c>
      <c r="D1" t="s">
        <v>49</v>
      </c>
      <c r="E1" t="s">
        <v>50</v>
      </c>
      <c r="F1" t="s">
        <v>29</v>
      </c>
      <c r="G1" t="s">
        <v>51</v>
      </c>
      <c r="H1" t="s">
        <v>52</v>
      </c>
    </row>
    <row r="2" spans="1:8" x14ac:dyDescent="0.3">
      <c r="A2" t="e" vm="2533">
        <v>#VALUE!</v>
      </c>
      <c r="B2" t="str" cm="1">
        <f t="array" ref="B2">_FV(Table2[[#This Row],[Stock]],"Exchange abbreviation",TRUE)</f>
        <v>XNSE</v>
      </c>
      <c r="C2" t="str" cm="1">
        <f t="array" ref="C2">_FV(Table2[[#This Row],[Stock]],"Ticker symbol",TRUE)</f>
        <v>LT</v>
      </c>
      <c r="D2" s="5" cm="1">
        <f t="array" ref="D2">_FV(Table2[[#This Row],[Stock]],"52 week high",TRUE)</f>
        <v>2427</v>
      </c>
      <c r="E2" s="5" cm="1">
        <f t="array" ref="E2">_FV(Table2[[#This Row],[Stock]],"52 week low",TRUE)</f>
        <v>1456.35</v>
      </c>
      <c r="F2" s="5" cm="1">
        <f t="array" ref="F2">_FV(Table2[[#This Row],[Stock]],"Price")</f>
        <v>2401.0500000000002</v>
      </c>
      <c r="G2" s="5" cm="1">
        <f t="array" ref="G2">_FV(Table2[[#This Row],[Stock]],"P/E",TRUE)</f>
        <v>32.43</v>
      </c>
      <c r="H2" s="5" cm="1">
        <f t="array" ref="H2">_FV(Table2[[#This Row],[Stock]],"Change")</f>
        <v>-15.2</v>
      </c>
    </row>
    <row r="3" spans="1:8" x14ac:dyDescent="0.3">
      <c r="A3" t="e" vm="2534">
        <v>#VALUE!</v>
      </c>
      <c r="B3" t="str" cm="1">
        <f t="array" ref="B3">_FV(Table2[[#This Row],[Stock]],"Exchange abbreviation",TRUE)</f>
        <v>XNSE</v>
      </c>
      <c r="C3" t="str" cm="1">
        <f t="array" ref="C3">_FV(Table2[[#This Row],[Stock]],"Ticker symbol",TRUE)</f>
        <v>DABUR</v>
      </c>
      <c r="D3" s="5" cm="1">
        <f t="array" ref="D3">_FV(Table2[[#This Row],[Stock]],"52 week high",TRUE)</f>
        <v>610.75</v>
      </c>
      <c r="E3" s="5" cm="1">
        <f t="array" ref="E3">_FV(Table2[[#This Row],[Stock]],"52 week low",TRUE)</f>
        <v>484.6</v>
      </c>
      <c r="F3" s="5" cm="1">
        <f t="array" ref="F3">_FV(Table2[[#This Row],[Stock]],"Price")</f>
        <v>556.95000000000005</v>
      </c>
      <c r="G3" s="5" cm="1">
        <f t="array" ref="G3">_FV(Table2[[#This Row],[Stock]],"P/E",TRUE)</f>
        <v>58.31</v>
      </c>
      <c r="H3" s="5" cm="1">
        <f t="array" ref="H3">_FV(Table2[[#This Row],[Stock]],"Change")</f>
        <v>-5.7</v>
      </c>
    </row>
    <row r="4" spans="1:8" x14ac:dyDescent="0.3">
      <c r="A4" s="21" t="s">
        <v>47</v>
      </c>
      <c r="B4" t="s">
        <v>53</v>
      </c>
    </row>
    <row r="6" spans="1:8" x14ac:dyDescent="0.3">
      <c r="A6" s="21" t="s">
        <v>55</v>
      </c>
      <c r="B6" s="21" t="s">
        <v>48</v>
      </c>
    </row>
    <row r="7" spans="1:8" x14ac:dyDescent="0.3">
      <c r="A7" t="s">
        <v>54</v>
      </c>
      <c r="B7" t="s">
        <v>14</v>
      </c>
    </row>
    <row r="8" spans="1:8" x14ac:dyDescent="0.3">
      <c r="A8" t="s">
        <v>54</v>
      </c>
      <c r="B8" t="s">
        <v>18</v>
      </c>
    </row>
  </sheetData>
  <pageMargins left="0.7" right="0.7" top="0.75" bottom="0.75" header="0.3" footer="0.3"/>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7BC05B-E340-443F-9973-23CAB3F45569}">
  <dimension ref="A1:H18"/>
  <sheetViews>
    <sheetView workbookViewId="0">
      <selection activeCell="A2" sqref="A2"/>
    </sheetView>
  </sheetViews>
  <sheetFormatPr defaultRowHeight="14.4" x14ac:dyDescent="0.3"/>
  <cols>
    <col min="1" max="1" width="25.33203125" customWidth="1"/>
  </cols>
  <sheetData>
    <row r="1" spans="1:8" x14ac:dyDescent="0.3">
      <c r="A1" t="s">
        <v>27</v>
      </c>
      <c r="B1" t="s">
        <v>3</v>
      </c>
      <c r="C1" t="s">
        <v>4</v>
      </c>
      <c r="D1" t="s">
        <v>5</v>
      </c>
      <c r="E1" t="s">
        <v>6</v>
      </c>
      <c r="F1" t="s">
        <v>7</v>
      </c>
      <c r="G1" t="s">
        <v>8</v>
      </c>
      <c r="H1" t="s">
        <v>9</v>
      </c>
    </row>
    <row r="2" spans="1:8" x14ac:dyDescent="0.3">
      <c r="A2" s="1" t="s">
        <v>10</v>
      </c>
      <c r="B2">
        <v>11</v>
      </c>
      <c r="C2">
        <v>3375.43</v>
      </c>
      <c r="D2">
        <v>3346.7</v>
      </c>
      <c r="E2">
        <v>36813.699999999997</v>
      </c>
      <c r="F2">
        <v>-316.05</v>
      </c>
      <c r="G2">
        <v>-0.85</v>
      </c>
      <c r="H2">
        <v>-0.41</v>
      </c>
    </row>
    <row r="3" spans="1:8" x14ac:dyDescent="0.3">
      <c r="A3" s="2" t="s">
        <v>11</v>
      </c>
      <c r="B3">
        <v>7</v>
      </c>
      <c r="C3">
        <v>3914.85</v>
      </c>
      <c r="D3">
        <v>3827.9</v>
      </c>
      <c r="E3">
        <v>26795.3</v>
      </c>
      <c r="F3">
        <v>-608.65</v>
      </c>
      <c r="G3">
        <v>-2.2200000000000002</v>
      </c>
      <c r="H3">
        <v>-0.91</v>
      </c>
    </row>
    <row r="4" spans="1:8" x14ac:dyDescent="0.3">
      <c r="A4" s="1" t="s">
        <v>12</v>
      </c>
      <c r="B4">
        <v>35</v>
      </c>
      <c r="C4">
        <v>743.71</v>
      </c>
      <c r="D4">
        <v>583.85</v>
      </c>
      <c r="E4">
        <v>20434.75</v>
      </c>
      <c r="F4">
        <v>-5595.15</v>
      </c>
      <c r="G4">
        <v>-21.5</v>
      </c>
      <c r="H4">
        <v>-1.06</v>
      </c>
    </row>
    <row r="5" spans="1:8" x14ac:dyDescent="0.3">
      <c r="A5" s="2" t="s">
        <v>13</v>
      </c>
      <c r="B5">
        <v>10</v>
      </c>
      <c r="C5">
        <v>1692.55</v>
      </c>
      <c r="D5">
        <v>1622.15</v>
      </c>
      <c r="E5">
        <v>16221.5</v>
      </c>
      <c r="F5">
        <v>-704</v>
      </c>
      <c r="G5">
        <v>-4.16</v>
      </c>
      <c r="H5">
        <v>-0.51</v>
      </c>
    </row>
    <row r="6" spans="1:8" x14ac:dyDescent="0.3">
      <c r="A6" s="1" t="s">
        <v>14</v>
      </c>
      <c r="B6">
        <v>363</v>
      </c>
      <c r="C6">
        <v>568.59</v>
      </c>
      <c r="D6">
        <v>536.4</v>
      </c>
      <c r="E6">
        <v>194713.2</v>
      </c>
      <c r="F6">
        <v>-11684.6</v>
      </c>
      <c r="G6">
        <v>-5.66</v>
      </c>
      <c r="H6">
        <v>-0.56000000000000005</v>
      </c>
    </row>
    <row r="7" spans="1:8" x14ac:dyDescent="0.3">
      <c r="A7" s="2" t="s">
        <v>15</v>
      </c>
      <c r="B7">
        <v>40</v>
      </c>
      <c r="C7">
        <v>581.5</v>
      </c>
      <c r="D7">
        <v>514.79999999999995</v>
      </c>
      <c r="E7">
        <v>20592</v>
      </c>
      <c r="F7">
        <v>-2668</v>
      </c>
      <c r="G7">
        <v>-11.47</v>
      </c>
      <c r="H7">
        <v>-2.09</v>
      </c>
    </row>
    <row r="8" spans="1:8" x14ac:dyDescent="0.3">
      <c r="A8" s="1" t="s">
        <v>16</v>
      </c>
      <c r="B8">
        <v>12</v>
      </c>
      <c r="C8">
        <v>2668.4</v>
      </c>
      <c r="D8">
        <v>2480.8000000000002</v>
      </c>
      <c r="E8">
        <v>29769.599999999999</v>
      </c>
      <c r="F8">
        <v>-2251.1999999999998</v>
      </c>
      <c r="G8">
        <v>-7.03</v>
      </c>
      <c r="H8">
        <v>-0.17</v>
      </c>
    </row>
    <row r="9" spans="1:8" x14ac:dyDescent="0.3">
      <c r="A9" s="2" t="s">
        <v>17</v>
      </c>
      <c r="B9">
        <v>21</v>
      </c>
      <c r="C9">
        <v>514.1</v>
      </c>
      <c r="D9">
        <v>440.95</v>
      </c>
      <c r="E9">
        <v>9259.9500000000007</v>
      </c>
      <c r="F9">
        <v>-1536.15</v>
      </c>
      <c r="G9">
        <v>-14.23</v>
      </c>
      <c r="H9">
        <v>-1.61</v>
      </c>
    </row>
    <row r="10" spans="1:8" x14ac:dyDescent="0.3">
      <c r="A10" s="1" t="s">
        <v>18</v>
      </c>
      <c r="B10">
        <v>77</v>
      </c>
      <c r="C10">
        <v>2228.2199999999998</v>
      </c>
      <c r="D10">
        <v>2166.15</v>
      </c>
      <c r="E10">
        <v>166793.54999999999</v>
      </c>
      <c r="F10">
        <v>-4779.5</v>
      </c>
      <c r="G10">
        <v>-2.79</v>
      </c>
      <c r="H10">
        <v>-1.84</v>
      </c>
    </row>
    <row r="11" spans="1:8" x14ac:dyDescent="0.3">
      <c r="A11" s="2" t="s">
        <v>19</v>
      </c>
      <c r="B11">
        <v>19</v>
      </c>
      <c r="C11">
        <v>2378.4499999999998</v>
      </c>
      <c r="D11">
        <v>2353.1999999999998</v>
      </c>
      <c r="E11">
        <v>44710.8</v>
      </c>
      <c r="F11">
        <v>-479.8</v>
      </c>
      <c r="G11">
        <v>-1.06</v>
      </c>
      <c r="H11">
        <v>-0.61</v>
      </c>
    </row>
    <row r="12" spans="1:8" x14ac:dyDescent="0.3">
      <c r="A12" s="1" t="s">
        <v>20</v>
      </c>
      <c r="B12">
        <v>3</v>
      </c>
      <c r="C12">
        <v>1492.5</v>
      </c>
      <c r="D12">
        <v>1223</v>
      </c>
      <c r="E12">
        <v>3669</v>
      </c>
      <c r="F12">
        <v>-808.5</v>
      </c>
      <c r="G12">
        <v>-18.059999999999999</v>
      </c>
      <c r="H12">
        <v>-3.11</v>
      </c>
    </row>
    <row r="13" spans="1:8" x14ac:dyDescent="0.3">
      <c r="A13" s="2" t="s">
        <v>21</v>
      </c>
      <c r="B13">
        <v>10</v>
      </c>
      <c r="C13">
        <v>2596.7600000000002</v>
      </c>
      <c r="D13">
        <v>2203.5</v>
      </c>
      <c r="E13">
        <v>22035</v>
      </c>
      <c r="F13">
        <v>-3932.6</v>
      </c>
      <c r="G13">
        <v>-15.14</v>
      </c>
      <c r="H13">
        <v>-1.96</v>
      </c>
    </row>
    <row r="14" spans="1:8" x14ac:dyDescent="0.3">
      <c r="A14" s="1" t="s">
        <v>22</v>
      </c>
      <c r="B14">
        <v>16</v>
      </c>
      <c r="C14">
        <v>1294.8900000000001</v>
      </c>
      <c r="D14">
        <v>1106.5999999999999</v>
      </c>
      <c r="E14">
        <v>17705.599999999999</v>
      </c>
      <c r="F14">
        <v>-3012.65</v>
      </c>
      <c r="G14">
        <v>-14.54</v>
      </c>
      <c r="H14">
        <v>-1.08</v>
      </c>
    </row>
    <row r="15" spans="1:8" x14ac:dyDescent="0.3">
      <c r="A15" s="2" t="s">
        <v>23</v>
      </c>
      <c r="B15">
        <v>78</v>
      </c>
      <c r="C15">
        <v>606.45000000000005</v>
      </c>
      <c r="D15">
        <v>505.6</v>
      </c>
      <c r="E15">
        <v>39436.800000000003</v>
      </c>
      <c r="F15">
        <v>-7866.25</v>
      </c>
      <c r="G15">
        <v>-16.63</v>
      </c>
      <c r="H15">
        <v>-1.38</v>
      </c>
    </row>
    <row r="16" spans="1:8" x14ac:dyDescent="0.3">
      <c r="A16" s="1" t="s">
        <v>24</v>
      </c>
      <c r="B16">
        <v>4</v>
      </c>
      <c r="C16">
        <v>3297.9</v>
      </c>
      <c r="D16">
        <v>3328</v>
      </c>
      <c r="E16">
        <v>13312</v>
      </c>
      <c r="F16">
        <v>120.4</v>
      </c>
      <c r="G16">
        <v>0.91</v>
      </c>
      <c r="H16">
        <v>0.02</v>
      </c>
    </row>
    <row r="17" spans="1:8" x14ac:dyDescent="0.3">
      <c r="A17" s="2" t="s">
        <v>25</v>
      </c>
      <c r="B17">
        <v>36</v>
      </c>
      <c r="C17">
        <v>1354.26</v>
      </c>
      <c r="D17">
        <v>1335</v>
      </c>
      <c r="E17">
        <v>48060</v>
      </c>
      <c r="F17">
        <v>-693.25</v>
      </c>
      <c r="G17">
        <v>-1.42</v>
      </c>
      <c r="H17">
        <v>-0.4</v>
      </c>
    </row>
    <row r="18" spans="1:8" x14ac:dyDescent="0.3">
      <c r="A18" s="3" t="s">
        <v>26</v>
      </c>
      <c r="B18">
        <v>147</v>
      </c>
      <c r="C18">
        <v>135.08000000000001</v>
      </c>
      <c r="D18">
        <v>15.07</v>
      </c>
      <c r="E18">
        <v>2215.29</v>
      </c>
      <c r="F18">
        <v>-17640.96</v>
      </c>
      <c r="G18">
        <v>-88.84</v>
      </c>
      <c r="H18">
        <v>-0.92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6DCC14-6ED4-47DE-9721-1EEC5E1DAF6F}">
  <dimension ref="A1:E8"/>
  <sheetViews>
    <sheetView workbookViewId="0">
      <selection activeCell="A2" sqref="A2"/>
    </sheetView>
  </sheetViews>
  <sheetFormatPr defaultRowHeight="14.4" x14ac:dyDescent="0.3"/>
  <cols>
    <col min="1" max="1" width="18.6640625" customWidth="1"/>
    <col min="3" max="3" width="10.21875" customWidth="1"/>
    <col min="5" max="5" width="18.33203125" customWidth="1"/>
  </cols>
  <sheetData>
    <row r="1" spans="1:5" x14ac:dyDescent="0.3">
      <c r="A1" t="s">
        <v>32</v>
      </c>
      <c r="B1" t="s">
        <v>31</v>
      </c>
      <c r="C1" t="s">
        <v>30</v>
      </c>
      <c r="D1" t="s">
        <v>29</v>
      </c>
      <c r="E1" t="s">
        <v>33</v>
      </c>
    </row>
    <row r="2" spans="1:5" x14ac:dyDescent="0.3">
      <c r="A2" s="6" t="e" vm="250">
        <v>#VALUE!</v>
      </c>
      <c r="B2" s="4" t="s">
        <v>28</v>
      </c>
      <c r="C2" s="6">
        <v>11</v>
      </c>
      <c r="D2" s="6">
        <v>3290.6812500000001</v>
      </c>
      <c r="E2" s="5" cm="1">
        <f t="array" ref="E2">_FV(Ledger[[#This Row],[StockTicker]],"52 week high",TRUE)</f>
        <v>4443.8999999999996</v>
      </c>
    </row>
    <row r="3" spans="1:5" x14ac:dyDescent="0.3">
      <c r="A3" s="6" t="e" vm="735">
        <v>#VALUE!</v>
      </c>
      <c r="B3" s="4" t="s">
        <v>28</v>
      </c>
      <c r="C3" s="6">
        <v>12</v>
      </c>
      <c r="D3" s="6">
        <v>2540.81</v>
      </c>
      <c r="E3" s="5" cm="1">
        <f t="array" ref="E3">_FV(Ledger[[#This Row],[StockTicker]],"52 week high",TRUE)</f>
        <v>2741.6</v>
      </c>
    </row>
    <row r="4" spans="1:5" x14ac:dyDescent="0.3">
      <c r="A4" s="6" t="e" vm="1446">
        <v>#VALUE!</v>
      </c>
      <c r="B4" s="4" t="s">
        <v>28</v>
      </c>
      <c r="C4" s="6">
        <v>16</v>
      </c>
      <c r="D4" s="6">
        <v>1248.1700000000003</v>
      </c>
      <c r="E4" s="5" cm="1">
        <f t="array" ref="E4">_FV(Ledger[[#This Row],[StockTicker]],"52 week high",TRUE)</f>
        <v>1340.35</v>
      </c>
    </row>
    <row r="5" spans="1:5" x14ac:dyDescent="0.3">
      <c r="A5" s="6" t="e" vm="1211">
        <v>#VALUE!</v>
      </c>
      <c r="B5" s="4" t="s">
        <v>28</v>
      </c>
      <c r="C5" s="6">
        <v>19</v>
      </c>
      <c r="D5" s="6">
        <v>2458.1749999999997</v>
      </c>
      <c r="E5" s="5" cm="1">
        <f t="array" ref="E5">_FV(Ledger[[#This Row],[StockTicker]],"52 week high",TRUE)</f>
        <v>2918.95</v>
      </c>
    </row>
    <row r="6" spans="1:5" x14ac:dyDescent="0.3">
      <c r="A6" s="6" t="e" vm="973">
        <v>#VALUE!</v>
      </c>
      <c r="B6" s="4" t="s">
        <v>28</v>
      </c>
      <c r="C6" s="6">
        <v>21</v>
      </c>
      <c r="D6" s="6">
        <v>589.1</v>
      </c>
      <c r="E6" s="5" cm="1">
        <f t="array" ref="E6">_FV(Ledger[[#This Row],[StockTicker]],"52 week high",TRUE)</f>
        <v>652.35</v>
      </c>
    </row>
    <row r="7" spans="1:5" x14ac:dyDescent="0.3">
      <c r="A7" s="6" t="e" vm="499">
        <v>#VALUE!</v>
      </c>
      <c r="B7" s="4" t="s">
        <v>28</v>
      </c>
      <c r="C7" s="6">
        <v>35</v>
      </c>
      <c r="D7" s="6">
        <v>742.69999999999993</v>
      </c>
      <c r="E7" s="5" cm="1">
        <f t="array" ref="E7">_FV(Ledger[[#This Row],[StockTicker]],"52 week high",TRUE)</f>
        <v>828.75</v>
      </c>
    </row>
    <row r="8" spans="1:5" x14ac:dyDescent="0.3">
      <c r="A8" s="6" t="e" vm="1690">
        <v>#VALUE!</v>
      </c>
      <c r="B8" s="4" t="s">
        <v>28</v>
      </c>
      <c r="C8" s="6">
        <v>36</v>
      </c>
      <c r="D8" s="6">
        <v>1354.211111111111</v>
      </c>
      <c r="E8" s="5" cm="1">
        <f t="array" ref="E8">_FV(Ledger[[#This Row],[StockTicker]],"52 week high",TRUE)</f>
        <v>1905</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Dashboard</vt:lpstr>
      <vt:lpstr>Dabur</vt:lpstr>
      <vt:lpstr>LT</vt:lpstr>
      <vt:lpstr>Watch List</vt:lpstr>
      <vt:lpstr>Sheet2</vt:lpstr>
      <vt:lpstr>Ledger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ycmal</dc:creator>
  <cp:lastModifiedBy>ycmal</cp:lastModifiedBy>
  <dcterms:created xsi:type="dcterms:W3CDTF">2023-03-27T14:19:08Z</dcterms:created>
  <dcterms:modified xsi:type="dcterms:W3CDTF">2023-06-23T04:55:00Z</dcterms:modified>
</cp:coreProperties>
</file>